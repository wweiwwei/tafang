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(RankMission)" sheetId="1" r:id="rId1"/>
    <sheet name="(RankPack)" sheetId="2" r:id="rId2"/>
    <sheet name="(RankReward)" sheetId="3" r:id="rId3"/>
  </sheets>
  <calcPr calcId="144525"/>
</workbook>
</file>

<file path=xl/comments1.xml><?xml version="1.0" encoding="utf-8"?>
<comments xmlns="http://schemas.openxmlformats.org/spreadsheetml/2006/main">
  <authors>
    <author>AAA</author>
    <author>admin</author>
    <author>MIS</author>
  </authors>
  <commentList>
    <comment ref="B2" authorId="0">
      <text>
        <r>
          <rPr>
            <sz val="9"/>
            <rFont val="宋体"/>
            <charset val="134"/>
          </rPr>
          <t xml:space="preserve">
1 建筑升阶（任务需求：建筑阶数，任务参数：建筑id）
2 建筑升级（任务需求：建筑等级，任务参数：建筑id）
3 建筑升星（任务需求：建筑升星，任务参数：建筑id）
4 挑战关卡（任务需求：关卡编号，任务参数：地图编号）
5 幸存者数量（任务需求：人数）
6 安排幸存者到特定建筑工作（任务需求：人数，任务参数：建筑id）
7.任意英雄升级（任务需求：等级）
8.从建筑收获xxx材料yyy个（任务需求：物品数量，任务参数：材料id） 备注：非累计次数，从任务刷出算起
9.多少个英雄升级到多少级（任务需求：人数，任务参数：等级）
10.转多少次转盘（任务需求：次数） 备注：非累计次数，从任务刷出算起
</t>
        </r>
        <r>
          <rPr>
            <b/>
            <sz val="9"/>
            <rFont val="宋体"/>
            <charset val="134"/>
          </rPr>
          <t>11.占领船舱（任务需求：固定填1，任务参数：建筑id）
12.任务英雄阶数（任务需求：阶数）
13.X个英雄XX阶（任务需求：人数，任务参数：阶数）
14.X件装备XX级（任务需求：装备数量，任务参数：装备等级）
15.X件装备XX阶（任务需求：装备数量，任务参数：装备阶数）
16.幸存者用餐次数（离线没有用餐次数统计。任务需求：用餐次数）
17.击败敌人（任务需求：击败敌人数量）
18.爬塔(任务参数：层数，任务参数：建筑id)
19.抽英雄（任务参数：抽取次数）
20.抽装备（任务参数：抽取次数）
21 登录天数（任务需求：天数，任务参数：固定1）
22 竞技场次数（任务参数：建筑id，任务需求：消耗次数）
23 外敌入侵次数（任务参数：建筑id，任务需求：消耗次数）
24 消耗物品（任务参数：物品id，任务需求：消耗数量）
25 挖矿（任务参数：建筑id，任务需求：挖矿道具消耗数量）
26 拼图活动签到（任务需求：天数，任务参数：固定1）
27 活动充值（任务需求：次数，任务参数：充值id（必须跟充值表id对应））</t>
        </r>
      </text>
    </comment>
    <comment ref="C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初始|增加值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-1，无限累计</t>
        </r>
      </text>
    </comment>
    <comment ref="G2" authorId="2">
      <text>
        <r>
          <rPr>
            <b/>
            <sz val="9"/>
            <rFont val="宋体"/>
            <charset val="134"/>
          </rPr>
          <t>MIS:</t>
        </r>
        <r>
          <rPr>
            <sz val="9"/>
            <rFont val="宋体"/>
            <charset val="134"/>
          </rPr>
          <t xml:space="preserve">
0:挑战冲榜
1:招募冲榜
2：抽装备冲榜</t>
        </r>
      </text>
    </comment>
  </commentList>
</comments>
</file>

<file path=xl/comments2.xml><?xml version="1.0" encoding="utf-8"?>
<comments xmlns="http://schemas.openxmlformats.org/spreadsheetml/2006/main">
  <authors>
    <author>MIS</author>
  </authors>
  <commentList>
    <comment ref="D2" authorId="0">
      <text>
        <r>
          <rPr>
            <b/>
            <sz val="9"/>
            <rFont val="宋体"/>
            <charset val="134"/>
          </rPr>
          <t>MIS:</t>
        </r>
        <r>
          <rPr>
            <sz val="9"/>
            <rFont val="宋体"/>
            <charset val="134"/>
          </rPr>
          <t xml:space="preserve">
0:挑战冲榜
1:招募冲榜
MIS:
0:挑战冲榜
1:招募冲榜
2：抽装备冲榜
</t>
        </r>
      </text>
    </comment>
  </commentList>
</comments>
</file>

<file path=xl/comments3.xml><?xml version="1.0" encoding="utf-8"?>
<comments xmlns="http://schemas.openxmlformats.org/spreadsheetml/2006/main">
  <authors>
    <author>MIS</author>
  </authors>
  <commentList>
    <comment ref="D2" authorId="0">
      <text>
        <r>
          <rPr>
            <sz val="9"/>
            <rFont val="宋体"/>
            <charset val="134"/>
          </rPr>
          <t xml:space="preserve">MIS:
0:挑战冲榜
1:招募冲榜
2：抽装备冲榜
</t>
        </r>
      </text>
    </comment>
  </commentList>
</comments>
</file>

<file path=xl/sharedStrings.xml><?xml version="1.0" encoding="utf-8"?>
<sst xmlns="http://schemas.openxmlformats.org/spreadsheetml/2006/main" count="373" uniqueCount="118">
  <si>
    <t>id</t>
  </si>
  <si>
    <t>kind</t>
  </si>
  <si>
    <t>require</t>
  </si>
  <si>
    <t>param</t>
  </si>
  <si>
    <t>reward</t>
  </si>
  <si>
    <t>stage</t>
  </si>
  <si>
    <t>page</t>
  </si>
  <si>
    <t>round</t>
  </si>
  <si>
    <t>唯一id</t>
  </si>
  <si>
    <t>任务类型</t>
  </si>
  <si>
    <t>任务需求</t>
  </si>
  <si>
    <t>任务参数</t>
  </si>
  <si>
    <t>奖励</t>
  </si>
  <si>
    <t>任务最大阶段数</t>
  </si>
  <si>
    <t>挑战或招募</t>
  </si>
  <si>
    <t>轮次</t>
  </si>
  <si>
    <t>int</t>
  </si>
  <si>
    <t>int[]</t>
  </si>
  <si>
    <t>long[][]</t>
  </si>
  <si>
    <t>notEmpty|idGroup,mission</t>
  </si>
  <si>
    <t>notEmpty</t>
  </si>
  <si>
    <t>30023,50</t>
  </si>
  <si>
    <t>0</t>
  </si>
  <si>
    <t>30023,100</t>
  </si>
  <si>
    <t>2</t>
  </si>
  <si>
    <t>30023,150</t>
  </si>
  <si>
    <t>3</t>
  </si>
  <si>
    <t>30023,250</t>
  </si>
  <si>
    <t>4</t>
  </si>
  <si>
    <t>20011,10</t>
  </si>
  <si>
    <t>1</t>
  </si>
  <si>
    <t>20012,10</t>
  </si>
  <si>
    <t>limit</t>
  </si>
  <si>
    <t>唯一id，与充值id对应</t>
  </si>
  <si>
    <t>限购</t>
  </si>
  <si>
    <t>直购</t>
  </si>
  <si>
    <t>30/张红卡</t>
  </si>
  <si>
    <t>notEmpty|match,Charge.id</t>
  </si>
  <si>
    <t>20005,5000|30023,30</t>
  </si>
  <si>
    <t>6元挑战冲榜礼包</t>
  </si>
  <si>
    <t>20005,15000|30023,90</t>
  </si>
  <si>
    <t>18元挑战冲榜礼包</t>
  </si>
  <si>
    <t>20005,25000|30023,150</t>
  </si>
  <si>
    <t>30元挑战冲榜礼包</t>
  </si>
  <si>
    <t>20005,56000|30023,340</t>
  </si>
  <si>
    <t>68元挑战冲榜礼包</t>
  </si>
  <si>
    <t>20005,82000|30023,490</t>
  </si>
  <si>
    <t>98元挑战冲榜礼包</t>
  </si>
  <si>
    <t>20005,106000|30023,640</t>
  </si>
  <si>
    <t>128元挑战冲榜礼包</t>
  </si>
  <si>
    <t>20011,5|10002,60</t>
  </si>
  <si>
    <t>6元招募英雄冲榜礼包</t>
  </si>
  <si>
    <t>20011,17|10002,180</t>
  </si>
  <si>
    <t>18元招募英雄冲榜礼包</t>
  </si>
  <si>
    <t>20011,28|10002,300</t>
  </si>
  <si>
    <t>30元招募英雄冲榜礼包</t>
  </si>
  <si>
    <t>20011,62|10002,680</t>
  </si>
  <si>
    <t>68元招募英雄冲榜礼包</t>
  </si>
  <si>
    <t>20011,86|10002,980</t>
  </si>
  <si>
    <t>98元招募英雄冲榜礼包</t>
  </si>
  <si>
    <t>20011,109|10002,1280</t>
  </si>
  <si>
    <t>128元招募英雄冲榜礼包</t>
  </si>
  <si>
    <t>20012,5|10002,60</t>
  </si>
  <si>
    <t>6元召唤装备冲榜礼包</t>
  </si>
  <si>
    <t>20012,17|10002,180</t>
  </si>
  <si>
    <t>18元召唤装备冲榜礼包</t>
  </si>
  <si>
    <t>20012,28|10002,300</t>
  </si>
  <si>
    <t>30元召唤装备冲榜礼包</t>
  </si>
  <si>
    <t>20012,62|10002,680</t>
  </si>
  <si>
    <t>68元召唤装备冲榜礼包</t>
  </si>
  <si>
    <t>20012,86|10002,980</t>
  </si>
  <si>
    <t>98元召唤装备冲榜礼包</t>
  </si>
  <si>
    <t>20012,109|10002,1280</t>
  </si>
  <si>
    <t>128元召唤装备冲榜礼包</t>
  </si>
  <si>
    <t>rank</t>
  </si>
  <si>
    <t>ID</t>
  </si>
  <si>
    <t>排名范围</t>
  </si>
  <si>
    <t>10002,5000|30023,1000|20005,1000000</t>
  </si>
  <si>
    <t>1|1</t>
  </si>
  <si>
    <t>10002,4000|30023,800|20005,800000</t>
  </si>
  <si>
    <t>2|2</t>
  </si>
  <si>
    <t>10002,3750|30023,750|20005,750000</t>
  </si>
  <si>
    <t>3|3</t>
  </si>
  <si>
    <t>10002,3500|30023,700|20005,700000</t>
  </si>
  <si>
    <t>4|5</t>
  </si>
  <si>
    <t>10002,3000|30023,600|20005,600000</t>
  </si>
  <si>
    <t>6|10</t>
  </si>
  <si>
    <t>10002,2500|30023,500|20005,500000</t>
  </si>
  <si>
    <t>11|20</t>
  </si>
  <si>
    <t>10002,2000|30023,400|20005,400000</t>
  </si>
  <si>
    <t>21|50</t>
  </si>
  <si>
    <t>10002,1500|30023,300|20005,300000</t>
  </si>
  <si>
    <t>51|100</t>
  </si>
  <si>
    <t>10002,1000|30023,200|20005,200000</t>
  </si>
  <si>
    <t>101|999999</t>
  </si>
  <si>
    <t>10002,5000|20011,100|30030,100</t>
  </si>
  <si>
    <t>100个红卡任选碎片箱</t>
  </si>
  <si>
    <t>钻石5000</t>
  </si>
  <si>
    <t>100抽卡券</t>
  </si>
  <si>
    <t>10002,4000|20011,80|30030,80</t>
  </si>
  <si>
    <t>10002,3750|20011,75|30030,75</t>
  </si>
  <si>
    <t>10002,3500|20011,70|30030,70</t>
  </si>
  <si>
    <t>10002,3000|20011,60|30030,60</t>
  </si>
  <si>
    <t>10002,2500|20011,50|30030,50</t>
  </si>
  <si>
    <t>10002,2000|20011,40|30030,40</t>
  </si>
  <si>
    <t>10002,1500|20011,30|30030,30</t>
  </si>
  <si>
    <t>10002,1000|20011,20|30030,20</t>
  </si>
  <si>
    <t>10002,5000|20012,100|30032,20</t>
  </si>
  <si>
    <t>20件红装任选箱</t>
  </si>
  <si>
    <t>100抽装备券</t>
  </si>
  <si>
    <t>10002,4000|20012,80|30032,16</t>
  </si>
  <si>
    <t>10002,3750|20012,75|30032,15</t>
  </si>
  <si>
    <t>10002,3500|20012,70|30032,14</t>
  </si>
  <si>
    <t>10002,3000|20012,60|30032,12</t>
  </si>
  <si>
    <t>10002,2500|20012,50|30032,10</t>
  </si>
  <si>
    <t>10002,2000|20012,40|30032,8</t>
  </si>
  <si>
    <t>10002,1500|20012,30|30032,6</t>
  </si>
  <si>
    <t>10002,1000|20012,20|30032,4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</si>
</sst>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0" fontId="1" fillId="3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workbookViewId="0">
      <selection activeCell="K12" sqref="K12"/>
    </sheetView>
  </sheetViews>
  <sheetFormatPr defaultColWidth="9" defaultRowHeight="13.5" outlineLevelCol="7"/>
  <cols>
    <col min="3" max="3" width="10.25" customWidth="1"/>
    <col min="5" max="5" width="10.25" customWidth="1"/>
    <col min="6" max="6" width="15" customWidth="1"/>
    <col min="7" max="7" width="10.875" customWidth="1"/>
    <col min="8" max="8" width="10.25" customWidth="1"/>
  </cols>
  <sheetData>
    <row r="1" ht="16.5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ht="16.5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  <row r="3" ht="16.5" spans="1:8">
      <c r="A3" s="4" t="s">
        <v>16</v>
      </c>
      <c r="B3" s="4" t="s">
        <v>16</v>
      </c>
      <c r="C3" s="4" t="s">
        <v>17</v>
      </c>
      <c r="D3" s="4" t="s">
        <v>17</v>
      </c>
      <c r="E3" s="4" t="s">
        <v>18</v>
      </c>
      <c r="F3" s="2" t="s">
        <v>16</v>
      </c>
      <c r="G3" s="2" t="s">
        <v>16</v>
      </c>
      <c r="H3" s="2" t="s">
        <v>16</v>
      </c>
    </row>
    <row r="4" ht="16.5" spans="1:8">
      <c r="A4" s="1" t="s">
        <v>19</v>
      </c>
      <c r="B4" s="1" t="s">
        <v>20</v>
      </c>
      <c r="C4" s="1" t="s">
        <v>20</v>
      </c>
      <c r="D4" s="1"/>
      <c r="E4" s="1" t="s">
        <v>20</v>
      </c>
      <c r="F4" s="3" t="s">
        <v>20</v>
      </c>
      <c r="G4" s="2" t="s">
        <v>20</v>
      </c>
      <c r="H4" s="2" t="s">
        <v>20</v>
      </c>
    </row>
    <row r="5" ht="16.5" spans="1:8">
      <c r="A5" s="6">
        <v>40001</v>
      </c>
      <c r="B5" s="7">
        <v>4</v>
      </c>
      <c r="C5" s="7">
        <v>10</v>
      </c>
      <c r="D5" s="7">
        <v>1</v>
      </c>
      <c r="E5" s="8" t="s">
        <v>21</v>
      </c>
      <c r="F5" s="7">
        <v>1</v>
      </c>
      <c r="G5" s="2" t="s">
        <v>22</v>
      </c>
      <c r="H5" s="2">
        <v>1</v>
      </c>
    </row>
    <row r="6" ht="16.5" spans="1:8">
      <c r="A6" s="6">
        <v>40002</v>
      </c>
      <c r="B6" s="7">
        <v>4</v>
      </c>
      <c r="C6" s="6">
        <v>30</v>
      </c>
      <c r="D6" s="7">
        <v>1</v>
      </c>
      <c r="E6" s="8" t="s">
        <v>21</v>
      </c>
      <c r="F6" s="7">
        <v>1</v>
      </c>
      <c r="G6" s="2" t="s">
        <v>22</v>
      </c>
      <c r="H6" s="2">
        <v>1</v>
      </c>
    </row>
    <row r="7" ht="16.5" spans="1:8">
      <c r="A7" s="6">
        <v>40003</v>
      </c>
      <c r="B7" s="7">
        <v>4</v>
      </c>
      <c r="C7" s="9">
        <v>50</v>
      </c>
      <c r="D7" s="7">
        <v>1</v>
      </c>
      <c r="E7" s="8" t="s">
        <v>21</v>
      </c>
      <c r="F7" s="7">
        <v>1</v>
      </c>
      <c r="G7" s="2" t="s">
        <v>22</v>
      </c>
      <c r="H7" s="2">
        <v>1</v>
      </c>
    </row>
    <row r="8" ht="16.5" spans="1:8">
      <c r="A8" s="6">
        <v>40004</v>
      </c>
      <c r="B8" s="7">
        <v>4</v>
      </c>
      <c r="C8" s="6">
        <v>100</v>
      </c>
      <c r="D8" s="7">
        <v>1</v>
      </c>
      <c r="E8" s="8" t="s">
        <v>21</v>
      </c>
      <c r="F8" s="7">
        <v>1</v>
      </c>
      <c r="G8" s="2" t="s">
        <v>22</v>
      </c>
      <c r="H8" s="2">
        <v>1</v>
      </c>
    </row>
    <row r="9" ht="16.5" spans="1:8">
      <c r="A9" s="6">
        <v>40005</v>
      </c>
      <c r="B9" s="7">
        <v>4</v>
      </c>
      <c r="C9" s="6">
        <v>150</v>
      </c>
      <c r="D9" s="7">
        <v>1</v>
      </c>
      <c r="E9" s="8" t="s">
        <v>21</v>
      </c>
      <c r="F9" s="7">
        <v>1</v>
      </c>
      <c r="G9" s="2" t="s">
        <v>22</v>
      </c>
      <c r="H9" s="2">
        <v>1</v>
      </c>
    </row>
    <row r="10" ht="16.5" spans="1:8">
      <c r="A10" s="6">
        <v>40006</v>
      </c>
      <c r="B10" s="7">
        <v>4</v>
      </c>
      <c r="C10" s="7">
        <v>200</v>
      </c>
      <c r="D10" s="7">
        <v>1</v>
      </c>
      <c r="E10" s="8" t="s">
        <v>23</v>
      </c>
      <c r="F10" s="7">
        <v>1</v>
      </c>
      <c r="G10" s="2" t="s">
        <v>22</v>
      </c>
      <c r="H10" s="2" t="s">
        <v>24</v>
      </c>
    </row>
    <row r="11" ht="16.5" spans="1:8">
      <c r="A11" s="6">
        <v>40007</v>
      </c>
      <c r="B11" s="7">
        <v>4</v>
      </c>
      <c r="C11" s="6">
        <v>300</v>
      </c>
      <c r="D11" s="7">
        <v>1</v>
      </c>
      <c r="E11" s="8" t="s">
        <v>23</v>
      </c>
      <c r="F11" s="7">
        <v>1</v>
      </c>
      <c r="G11" s="2" t="s">
        <v>22</v>
      </c>
      <c r="H11" s="2" t="s">
        <v>24</v>
      </c>
    </row>
    <row r="12" ht="16.5" spans="1:8">
      <c r="A12" s="6">
        <v>40008</v>
      </c>
      <c r="B12" s="7">
        <v>4</v>
      </c>
      <c r="C12" s="9">
        <v>400</v>
      </c>
      <c r="D12" s="7">
        <v>1</v>
      </c>
      <c r="E12" s="8" t="s">
        <v>23</v>
      </c>
      <c r="F12" s="7">
        <v>1</v>
      </c>
      <c r="G12" s="2" t="s">
        <v>22</v>
      </c>
      <c r="H12" s="2" t="s">
        <v>24</v>
      </c>
    </row>
    <row r="13" ht="16.5" spans="1:8">
      <c r="A13" s="6">
        <v>40009</v>
      </c>
      <c r="B13" s="7">
        <v>4</v>
      </c>
      <c r="C13" s="6">
        <v>500</v>
      </c>
      <c r="D13" s="7">
        <v>1</v>
      </c>
      <c r="E13" s="8" t="s">
        <v>23</v>
      </c>
      <c r="F13" s="7">
        <v>1</v>
      </c>
      <c r="G13" s="2" t="s">
        <v>22</v>
      </c>
      <c r="H13" s="2" t="s">
        <v>24</v>
      </c>
    </row>
    <row r="14" ht="16.5" spans="1:8">
      <c r="A14" s="6">
        <v>40010</v>
      </c>
      <c r="B14" s="7">
        <v>4</v>
      </c>
      <c r="C14" s="6">
        <v>600</v>
      </c>
      <c r="D14" s="7">
        <v>1</v>
      </c>
      <c r="E14" s="8" t="s">
        <v>23</v>
      </c>
      <c r="F14" s="7">
        <v>1</v>
      </c>
      <c r="G14" s="2" t="s">
        <v>22</v>
      </c>
      <c r="H14" s="2" t="s">
        <v>24</v>
      </c>
    </row>
    <row r="15" ht="16.5" spans="1:8">
      <c r="A15" s="6">
        <v>40011</v>
      </c>
      <c r="B15" s="7">
        <v>4</v>
      </c>
      <c r="C15" s="7">
        <v>700</v>
      </c>
      <c r="D15" s="7">
        <v>1</v>
      </c>
      <c r="E15" s="8" t="s">
        <v>25</v>
      </c>
      <c r="F15" s="7">
        <v>1</v>
      </c>
      <c r="G15" s="2" t="s">
        <v>22</v>
      </c>
      <c r="H15" s="2" t="s">
        <v>26</v>
      </c>
    </row>
    <row r="16" ht="16.5" spans="1:8">
      <c r="A16" s="6">
        <v>40012</v>
      </c>
      <c r="B16" s="7">
        <v>4</v>
      </c>
      <c r="C16" s="6">
        <v>800</v>
      </c>
      <c r="D16" s="7">
        <v>1</v>
      </c>
      <c r="E16" s="8" t="s">
        <v>25</v>
      </c>
      <c r="F16" s="7">
        <v>1</v>
      </c>
      <c r="G16" s="2" t="s">
        <v>22</v>
      </c>
      <c r="H16" s="2" t="s">
        <v>26</v>
      </c>
    </row>
    <row r="17" ht="16.5" spans="1:8">
      <c r="A17" s="6">
        <v>40013</v>
      </c>
      <c r="B17" s="7">
        <v>4</v>
      </c>
      <c r="C17" s="9">
        <v>1000</v>
      </c>
      <c r="D17" s="7">
        <v>1</v>
      </c>
      <c r="E17" s="8" t="s">
        <v>25</v>
      </c>
      <c r="F17" s="7">
        <v>1</v>
      </c>
      <c r="G17" s="2" t="s">
        <v>22</v>
      </c>
      <c r="H17" s="2" t="s">
        <v>26</v>
      </c>
    </row>
    <row r="18" ht="16.5" spans="1:8">
      <c r="A18" s="6">
        <v>40014</v>
      </c>
      <c r="B18" s="7">
        <v>4</v>
      </c>
      <c r="C18" s="6">
        <v>1200</v>
      </c>
      <c r="D18" s="7">
        <v>1</v>
      </c>
      <c r="E18" s="8" t="s">
        <v>25</v>
      </c>
      <c r="F18" s="7">
        <v>1</v>
      </c>
      <c r="G18" s="2" t="s">
        <v>22</v>
      </c>
      <c r="H18" s="2" t="s">
        <v>26</v>
      </c>
    </row>
    <row r="19" ht="16.5" spans="1:8">
      <c r="A19" s="6">
        <v>40015</v>
      </c>
      <c r="B19" s="7">
        <v>4</v>
      </c>
      <c r="C19" s="6">
        <v>1400</v>
      </c>
      <c r="D19" s="7">
        <v>1</v>
      </c>
      <c r="E19" s="8" t="s">
        <v>25</v>
      </c>
      <c r="F19" s="7">
        <v>1</v>
      </c>
      <c r="G19" s="2" t="s">
        <v>22</v>
      </c>
      <c r="H19" s="2" t="s">
        <v>26</v>
      </c>
    </row>
    <row r="20" ht="16.5" spans="1:8">
      <c r="A20" s="6">
        <v>40016</v>
      </c>
      <c r="B20" s="7">
        <v>4</v>
      </c>
      <c r="C20" s="7">
        <v>1600</v>
      </c>
      <c r="D20" s="7">
        <v>1</v>
      </c>
      <c r="E20" s="8" t="s">
        <v>27</v>
      </c>
      <c r="F20" s="7">
        <v>1</v>
      </c>
      <c r="G20" s="2" t="s">
        <v>22</v>
      </c>
      <c r="H20" s="2" t="s">
        <v>28</v>
      </c>
    </row>
    <row r="21" ht="16.5" spans="1:8">
      <c r="A21" s="6">
        <v>40017</v>
      </c>
      <c r="B21" s="7">
        <v>4</v>
      </c>
      <c r="C21" s="6">
        <v>1800</v>
      </c>
      <c r="D21" s="7">
        <v>1</v>
      </c>
      <c r="E21" s="8" t="s">
        <v>27</v>
      </c>
      <c r="F21" s="7">
        <v>1</v>
      </c>
      <c r="G21" s="2" t="s">
        <v>22</v>
      </c>
      <c r="H21" s="2" t="s">
        <v>28</v>
      </c>
    </row>
    <row r="22" ht="16.5" spans="1:8">
      <c r="A22" s="6">
        <v>40018</v>
      </c>
      <c r="B22" s="7">
        <v>4</v>
      </c>
      <c r="C22" s="9">
        <v>2000</v>
      </c>
      <c r="D22" s="7">
        <v>1</v>
      </c>
      <c r="E22" s="8" t="s">
        <v>27</v>
      </c>
      <c r="F22" s="7">
        <v>1</v>
      </c>
      <c r="G22" s="2" t="s">
        <v>22</v>
      </c>
      <c r="H22" s="2" t="s">
        <v>28</v>
      </c>
    </row>
    <row r="23" ht="16.5" spans="1:8">
      <c r="A23" s="6">
        <v>40019</v>
      </c>
      <c r="B23" s="7">
        <v>4</v>
      </c>
      <c r="C23" s="6">
        <v>2200</v>
      </c>
      <c r="D23" s="7">
        <v>1</v>
      </c>
      <c r="E23" s="8" t="s">
        <v>27</v>
      </c>
      <c r="F23" s="7">
        <v>1</v>
      </c>
      <c r="G23" s="2" t="s">
        <v>22</v>
      </c>
      <c r="H23" s="2" t="s">
        <v>28</v>
      </c>
    </row>
    <row r="24" ht="16.5" spans="1:8">
      <c r="A24" s="6">
        <v>40020</v>
      </c>
      <c r="B24" s="7">
        <v>4</v>
      </c>
      <c r="C24" s="6">
        <v>2500</v>
      </c>
      <c r="D24" s="7">
        <v>1</v>
      </c>
      <c r="E24" s="8" t="s">
        <v>27</v>
      </c>
      <c r="F24" s="7">
        <v>1</v>
      </c>
      <c r="G24" s="2" t="s">
        <v>22</v>
      </c>
      <c r="H24" s="2" t="s">
        <v>28</v>
      </c>
    </row>
    <row r="25" ht="16.5" spans="1:8">
      <c r="A25" s="6">
        <v>41001</v>
      </c>
      <c r="B25" s="6">
        <v>19</v>
      </c>
      <c r="C25" s="7">
        <v>50</v>
      </c>
      <c r="D25" s="7"/>
      <c r="E25" s="6" t="s">
        <v>29</v>
      </c>
      <c r="F25" s="7">
        <v>1</v>
      </c>
      <c r="G25" s="2" t="s">
        <v>30</v>
      </c>
      <c r="H25" s="2">
        <v>1</v>
      </c>
    </row>
    <row r="26" ht="16.5" spans="1:8">
      <c r="A26" s="6">
        <v>41002</v>
      </c>
      <c r="B26" s="6">
        <v>19</v>
      </c>
      <c r="C26" s="6">
        <v>100</v>
      </c>
      <c r="D26" s="6"/>
      <c r="E26" s="6" t="s">
        <v>29</v>
      </c>
      <c r="F26" s="7">
        <v>1</v>
      </c>
      <c r="G26" s="2" t="s">
        <v>30</v>
      </c>
      <c r="H26" s="2">
        <v>1</v>
      </c>
    </row>
    <row r="27" ht="16.5" spans="1:8">
      <c r="A27" s="6">
        <v>41003</v>
      </c>
      <c r="B27" s="6">
        <v>19</v>
      </c>
      <c r="C27" s="9">
        <f>C26+50</f>
        <v>150</v>
      </c>
      <c r="D27" s="9"/>
      <c r="E27" s="6" t="s">
        <v>29</v>
      </c>
      <c r="F27" s="7">
        <v>1</v>
      </c>
      <c r="G27" s="2" t="s">
        <v>30</v>
      </c>
      <c r="H27" s="2">
        <v>1</v>
      </c>
    </row>
    <row r="28" ht="16.5" spans="1:8">
      <c r="A28" s="6">
        <v>41004</v>
      </c>
      <c r="B28" s="6">
        <v>19</v>
      </c>
      <c r="C28" s="9">
        <f t="shared" ref="C28:C44" si="0">C27+50</f>
        <v>200</v>
      </c>
      <c r="D28" s="6"/>
      <c r="E28" s="6" t="s">
        <v>29</v>
      </c>
      <c r="F28" s="7">
        <v>1</v>
      </c>
      <c r="G28" s="2" t="s">
        <v>30</v>
      </c>
      <c r="H28" s="2">
        <v>1</v>
      </c>
    </row>
    <row r="29" ht="16.5" spans="1:8">
      <c r="A29" s="6">
        <v>41005</v>
      </c>
      <c r="B29" s="6">
        <v>19</v>
      </c>
      <c r="C29" s="9">
        <f t="shared" si="0"/>
        <v>250</v>
      </c>
      <c r="D29" s="6"/>
      <c r="E29" s="6" t="s">
        <v>29</v>
      </c>
      <c r="F29" s="7">
        <v>1</v>
      </c>
      <c r="G29" s="2" t="s">
        <v>30</v>
      </c>
      <c r="H29" s="2">
        <v>1</v>
      </c>
    </row>
    <row r="30" ht="16.5" spans="1:8">
      <c r="A30" s="6">
        <v>41006</v>
      </c>
      <c r="B30" s="6">
        <v>19</v>
      </c>
      <c r="C30" s="9">
        <f t="shared" si="0"/>
        <v>300</v>
      </c>
      <c r="D30" s="7"/>
      <c r="E30" s="6" t="s">
        <v>29</v>
      </c>
      <c r="F30" s="7">
        <v>1</v>
      </c>
      <c r="G30" s="2" t="s">
        <v>30</v>
      </c>
      <c r="H30" s="2" t="s">
        <v>24</v>
      </c>
    </row>
    <row r="31" ht="16.5" spans="1:8">
      <c r="A31" s="6">
        <v>41007</v>
      </c>
      <c r="B31" s="6">
        <v>19</v>
      </c>
      <c r="C31" s="9">
        <f t="shared" si="0"/>
        <v>350</v>
      </c>
      <c r="D31" s="6"/>
      <c r="E31" s="6" t="s">
        <v>29</v>
      </c>
      <c r="F31" s="7">
        <v>1</v>
      </c>
      <c r="G31" s="2" t="s">
        <v>30</v>
      </c>
      <c r="H31" s="2" t="s">
        <v>24</v>
      </c>
    </row>
    <row r="32" ht="16.5" spans="1:8">
      <c r="A32" s="6">
        <v>41008</v>
      </c>
      <c r="B32" s="6">
        <v>19</v>
      </c>
      <c r="C32" s="9">
        <f t="shared" si="0"/>
        <v>400</v>
      </c>
      <c r="D32" s="9"/>
      <c r="E32" s="6" t="s">
        <v>29</v>
      </c>
      <c r="F32" s="7">
        <v>1</v>
      </c>
      <c r="G32" s="2" t="s">
        <v>30</v>
      </c>
      <c r="H32" s="2" t="s">
        <v>24</v>
      </c>
    </row>
    <row r="33" ht="16.5" spans="1:8">
      <c r="A33" s="6">
        <v>41009</v>
      </c>
      <c r="B33" s="6">
        <v>19</v>
      </c>
      <c r="C33" s="9">
        <f t="shared" si="0"/>
        <v>450</v>
      </c>
      <c r="D33" s="6"/>
      <c r="E33" s="6" t="s">
        <v>29</v>
      </c>
      <c r="F33" s="7">
        <v>1</v>
      </c>
      <c r="G33" s="2" t="s">
        <v>30</v>
      </c>
      <c r="H33" s="2" t="s">
        <v>24</v>
      </c>
    </row>
    <row r="34" ht="16.5" spans="1:8">
      <c r="A34" s="6">
        <v>41010</v>
      </c>
      <c r="B34" s="6">
        <v>19</v>
      </c>
      <c r="C34" s="9">
        <f t="shared" si="0"/>
        <v>500</v>
      </c>
      <c r="D34" s="6"/>
      <c r="E34" s="6" t="s">
        <v>29</v>
      </c>
      <c r="F34" s="7">
        <v>1</v>
      </c>
      <c r="G34" s="2" t="s">
        <v>30</v>
      </c>
      <c r="H34" s="2" t="s">
        <v>24</v>
      </c>
    </row>
    <row r="35" ht="16.5" spans="1:8">
      <c r="A35" s="6">
        <v>41011</v>
      </c>
      <c r="B35" s="6">
        <v>19</v>
      </c>
      <c r="C35" s="9">
        <f t="shared" si="0"/>
        <v>550</v>
      </c>
      <c r="D35" s="7"/>
      <c r="E35" s="6" t="s">
        <v>29</v>
      </c>
      <c r="F35" s="7">
        <v>1</v>
      </c>
      <c r="G35" s="2" t="s">
        <v>30</v>
      </c>
      <c r="H35" s="2" t="s">
        <v>26</v>
      </c>
    </row>
    <row r="36" ht="16.5" spans="1:8">
      <c r="A36" s="6">
        <v>41012</v>
      </c>
      <c r="B36" s="6">
        <v>19</v>
      </c>
      <c r="C36" s="9">
        <f t="shared" si="0"/>
        <v>600</v>
      </c>
      <c r="D36" s="6"/>
      <c r="E36" s="6" t="s">
        <v>29</v>
      </c>
      <c r="F36" s="7">
        <v>1</v>
      </c>
      <c r="G36" s="2" t="s">
        <v>30</v>
      </c>
      <c r="H36" s="2" t="s">
        <v>26</v>
      </c>
    </row>
    <row r="37" ht="16.5" spans="1:8">
      <c r="A37" s="6">
        <v>41013</v>
      </c>
      <c r="B37" s="6">
        <v>19</v>
      </c>
      <c r="C37" s="9">
        <f t="shared" si="0"/>
        <v>650</v>
      </c>
      <c r="D37" s="9"/>
      <c r="E37" s="6" t="s">
        <v>29</v>
      </c>
      <c r="F37" s="7">
        <v>1</v>
      </c>
      <c r="G37" s="2" t="s">
        <v>30</v>
      </c>
      <c r="H37" s="2" t="s">
        <v>26</v>
      </c>
    </row>
    <row r="38" ht="16.5" spans="1:8">
      <c r="A38" s="6">
        <v>41014</v>
      </c>
      <c r="B38" s="6">
        <v>19</v>
      </c>
      <c r="C38" s="9">
        <f t="shared" si="0"/>
        <v>700</v>
      </c>
      <c r="D38" s="6"/>
      <c r="E38" s="6" t="s">
        <v>29</v>
      </c>
      <c r="F38" s="7">
        <v>1</v>
      </c>
      <c r="G38" s="2" t="s">
        <v>30</v>
      </c>
      <c r="H38" s="2" t="s">
        <v>26</v>
      </c>
    </row>
    <row r="39" ht="16.5" spans="1:8">
      <c r="A39" s="6">
        <v>41015</v>
      </c>
      <c r="B39" s="6">
        <v>19</v>
      </c>
      <c r="C39" s="9">
        <f t="shared" si="0"/>
        <v>750</v>
      </c>
      <c r="D39" s="6"/>
      <c r="E39" s="6" t="s">
        <v>29</v>
      </c>
      <c r="F39" s="6">
        <v>1</v>
      </c>
      <c r="G39" s="2" t="s">
        <v>30</v>
      </c>
      <c r="H39" s="2" t="s">
        <v>26</v>
      </c>
    </row>
    <row r="40" ht="16.5" spans="1:8">
      <c r="A40" s="6">
        <v>41016</v>
      </c>
      <c r="B40" s="6">
        <v>19</v>
      </c>
      <c r="C40" s="9">
        <f t="shared" si="0"/>
        <v>800</v>
      </c>
      <c r="D40" s="9"/>
      <c r="E40" s="6" t="s">
        <v>29</v>
      </c>
      <c r="F40" s="7">
        <v>1</v>
      </c>
      <c r="G40" s="2" t="s">
        <v>30</v>
      </c>
      <c r="H40" s="2" t="s">
        <v>28</v>
      </c>
    </row>
    <row r="41" ht="16.5" spans="1:8">
      <c r="A41" s="6">
        <v>41017</v>
      </c>
      <c r="B41" s="6">
        <v>19</v>
      </c>
      <c r="C41" s="9">
        <f t="shared" si="0"/>
        <v>850</v>
      </c>
      <c r="D41" s="9"/>
      <c r="E41" s="6" t="s">
        <v>29</v>
      </c>
      <c r="F41" s="7">
        <v>1</v>
      </c>
      <c r="G41" s="2" t="s">
        <v>30</v>
      </c>
      <c r="H41" s="2" t="s">
        <v>28</v>
      </c>
    </row>
    <row r="42" ht="16.5" spans="1:8">
      <c r="A42" s="6">
        <v>41018</v>
      </c>
      <c r="B42" s="6">
        <v>19</v>
      </c>
      <c r="C42" s="9">
        <f t="shared" si="0"/>
        <v>900</v>
      </c>
      <c r="D42" s="9"/>
      <c r="E42" s="6" t="s">
        <v>29</v>
      </c>
      <c r="F42" s="7">
        <v>1</v>
      </c>
      <c r="G42" s="2" t="s">
        <v>30</v>
      </c>
      <c r="H42" s="2" t="s">
        <v>28</v>
      </c>
    </row>
    <row r="43" ht="16.5" spans="1:8">
      <c r="A43" s="6">
        <v>41019</v>
      </c>
      <c r="B43" s="6">
        <v>19</v>
      </c>
      <c r="C43" s="9">
        <f t="shared" si="0"/>
        <v>950</v>
      </c>
      <c r="D43" s="9"/>
      <c r="E43" s="6" t="s">
        <v>29</v>
      </c>
      <c r="F43" s="7">
        <v>1</v>
      </c>
      <c r="G43" s="2" t="s">
        <v>30</v>
      </c>
      <c r="H43" s="2" t="s">
        <v>28</v>
      </c>
    </row>
    <row r="44" ht="16.5" spans="1:8">
      <c r="A44" s="6">
        <v>41020</v>
      </c>
      <c r="B44" s="6">
        <v>19</v>
      </c>
      <c r="C44" s="9">
        <f t="shared" si="0"/>
        <v>1000</v>
      </c>
      <c r="D44" s="6"/>
      <c r="E44" s="6" t="s">
        <v>29</v>
      </c>
      <c r="F44" s="6">
        <v>1</v>
      </c>
      <c r="G44" s="2" t="s">
        <v>30</v>
      </c>
      <c r="H44" s="2" t="s">
        <v>28</v>
      </c>
    </row>
    <row r="45" ht="16.5" spans="1:8">
      <c r="A45" s="6">
        <v>42001</v>
      </c>
      <c r="B45" s="6">
        <v>20</v>
      </c>
      <c r="C45" s="7">
        <v>50</v>
      </c>
      <c r="D45" s="7"/>
      <c r="E45" s="6" t="s">
        <v>31</v>
      </c>
      <c r="F45" s="6">
        <v>1</v>
      </c>
      <c r="G45" s="2" t="s">
        <v>24</v>
      </c>
      <c r="H45" s="2">
        <v>1</v>
      </c>
    </row>
    <row r="46" ht="16.5" spans="1:8">
      <c r="A46" s="6">
        <v>42002</v>
      </c>
      <c r="B46" s="6">
        <v>20</v>
      </c>
      <c r="C46" s="6">
        <v>100</v>
      </c>
      <c r="D46" s="6"/>
      <c r="E46" s="6" t="s">
        <v>31</v>
      </c>
      <c r="F46" s="6">
        <v>1</v>
      </c>
      <c r="G46" s="2" t="s">
        <v>24</v>
      </c>
      <c r="H46" s="2">
        <v>1</v>
      </c>
    </row>
    <row r="47" ht="16.5" spans="1:8">
      <c r="A47" s="6">
        <v>42003</v>
      </c>
      <c r="B47" s="6">
        <v>20</v>
      </c>
      <c r="C47" s="9">
        <f t="shared" ref="C47:C64" si="1">C46+50</f>
        <v>150</v>
      </c>
      <c r="D47" s="9"/>
      <c r="E47" s="6" t="s">
        <v>31</v>
      </c>
      <c r="F47" s="6">
        <v>1</v>
      </c>
      <c r="G47" s="2" t="s">
        <v>24</v>
      </c>
      <c r="H47" s="2">
        <v>1</v>
      </c>
    </row>
    <row r="48" ht="16.5" spans="1:8">
      <c r="A48" s="6">
        <v>42004</v>
      </c>
      <c r="B48" s="6">
        <v>20</v>
      </c>
      <c r="C48" s="9">
        <f t="shared" si="1"/>
        <v>200</v>
      </c>
      <c r="D48" s="6"/>
      <c r="E48" s="6" t="s">
        <v>31</v>
      </c>
      <c r="F48" s="6">
        <v>1</v>
      </c>
      <c r="G48" s="2" t="s">
        <v>24</v>
      </c>
      <c r="H48" s="2">
        <v>1</v>
      </c>
    </row>
    <row r="49" ht="16.5" spans="1:8">
      <c r="A49" s="6">
        <v>42005</v>
      </c>
      <c r="B49" s="6">
        <v>20</v>
      </c>
      <c r="C49" s="9">
        <f t="shared" si="1"/>
        <v>250</v>
      </c>
      <c r="D49" s="6"/>
      <c r="E49" s="6" t="s">
        <v>31</v>
      </c>
      <c r="F49" s="6">
        <v>1</v>
      </c>
      <c r="G49" s="2" t="s">
        <v>24</v>
      </c>
      <c r="H49" s="2">
        <v>1</v>
      </c>
    </row>
    <row r="50" ht="16.5" spans="1:8">
      <c r="A50" s="6">
        <v>42006</v>
      </c>
      <c r="B50" s="6">
        <v>20</v>
      </c>
      <c r="C50" s="9">
        <f t="shared" si="1"/>
        <v>300</v>
      </c>
      <c r="D50" s="7"/>
      <c r="E50" s="6" t="s">
        <v>31</v>
      </c>
      <c r="F50" s="6">
        <v>1</v>
      </c>
      <c r="G50" s="2" t="s">
        <v>24</v>
      </c>
      <c r="H50" s="2" t="s">
        <v>24</v>
      </c>
    </row>
    <row r="51" ht="16.5" spans="1:8">
      <c r="A51" s="6">
        <v>42007</v>
      </c>
      <c r="B51" s="6">
        <v>20</v>
      </c>
      <c r="C51" s="9">
        <f t="shared" si="1"/>
        <v>350</v>
      </c>
      <c r="D51" s="6"/>
      <c r="E51" s="6" t="s">
        <v>31</v>
      </c>
      <c r="F51" s="6">
        <v>1</v>
      </c>
      <c r="G51" s="2" t="s">
        <v>24</v>
      </c>
      <c r="H51" s="2" t="s">
        <v>24</v>
      </c>
    </row>
    <row r="52" ht="16.5" spans="1:8">
      <c r="A52" s="6">
        <v>42008</v>
      </c>
      <c r="B52" s="6">
        <v>20</v>
      </c>
      <c r="C52" s="9">
        <f t="shared" si="1"/>
        <v>400</v>
      </c>
      <c r="D52" s="9"/>
      <c r="E52" s="6" t="s">
        <v>31</v>
      </c>
      <c r="F52" s="6">
        <v>1</v>
      </c>
      <c r="G52" s="2" t="s">
        <v>24</v>
      </c>
      <c r="H52" s="2" t="s">
        <v>24</v>
      </c>
    </row>
    <row r="53" ht="16.5" spans="1:8">
      <c r="A53" s="6">
        <v>42009</v>
      </c>
      <c r="B53" s="6">
        <v>20</v>
      </c>
      <c r="C53" s="9">
        <f t="shared" si="1"/>
        <v>450</v>
      </c>
      <c r="D53" s="6"/>
      <c r="E53" s="6" t="s">
        <v>31</v>
      </c>
      <c r="F53" s="6">
        <v>1</v>
      </c>
      <c r="G53" s="2" t="s">
        <v>24</v>
      </c>
      <c r="H53" s="2" t="s">
        <v>24</v>
      </c>
    </row>
    <row r="54" ht="16.5" spans="1:8">
      <c r="A54" s="6">
        <v>42010</v>
      </c>
      <c r="B54" s="6">
        <v>20</v>
      </c>
      <c r="C54" s="9">
        <f t="shared" si="1"/>
        <v>500</v>
      </c>
      <c r="D54" s="6"/>
      <c r="E54" s="6" t="s">
        <v>31</v>
      </c>
      <c r="F54" s="6">
        <v>1</v>
      </c>
      <c r="G54" s="2" t="s">
        <v>24</v>
      </c>
      <c r="H54" s="2" t="s">
        <v>24</v>
      </c>
    </row>
    <row r="55" ht="16.5" spans="1:8">
      <c r="A55" s="6">
        <v>42011</v>
      </c>
      <c r="B55" s="6">
        <v>20</v>
      </c>
      <c r="C55" s="9">
        <f t="shared" si="1"/>
        <v>550</v>
      </c>
      <c r="D55" s="7"/>
      <c r="E55" s="6" t="s">
        <v>31</v>
      </c>
      <c r="F55" s="6">
        <v>1</v>
      </c>
      <c r="G55" s="2" t="s">
        <v>24</v>
      </c>
      <c r="H55" s="2" t="s">
        <v>26</v>
      </c>
    </row>
    <row r="56" ht="16.5" spans="1:8">
      <c r="A56" s="6">
        <v>42012</v>
      </c>
      <c r="B56" s="6">
        <v>20</v>
      </c>
      <c r="C56" s="9">
        <f t="shared" si="1"/>
        <v>600</v>
      </c>
      <c r="D56" s="6"/>
      <c r="E56" s="6" t="s">
        <v>31</v>
      </c>
      <c r="F56" s="6">
        <v>1</v>
      </c>
      <c r="G56" s="2" t="s">
        <v>24</v>
      </c>
      <c r="H56" s="2" t="s">
        <v>26</v>
      </c>
    </row>
    <row r="57" ht="16.5" spans="1:8">
      <c r="A57" s="6">
        <v>42013</v>
      </c>
      <c r="B57" s="6">
        <v>20</v>
      </c>
      <c r="C57" s="9">
        <f t="shared" si="1"/>
        <v>650</v>
      </c>
      <c r="D57" s="9"/>
      <c r="E57" s="6" t="s">
        <v>31</v>
      </c>
      <c r="F57" s="6">
        <v>1</v>
      </c>
      <c r="G57" s="2" t="s">
        <v>24</v>
      </c>
      <c r="H57" s="2" t="s">
        <v>26</v>
      </c>
    </row>
    <row r="58" ht="16.5" spans="1:8">
      <c r="A58" s="6">
        <v>42014</v>
      </c>
      <c r="B58" s="6">
        <v>20</v>
      </c>
      <c r="C58" s="9">
        <f t="shared" si="1"/>
        <v>700</v>
      </c>
      <c r="D58" s="6"/>
      <c r="E58" s="6" t="s">
        <v>31</v>
      </c>
      <c r="F58" s="6">
        <v>1</v>
      </c>
      <c r="G58" s="2" t="s">
        <v>24</v>
      </c>
      <c r="H58" s="2" t="s">
        <v>26</v>
      </c>
    </row>
    <row r="59" ht="16.5" spans="1:8">
      <c r="A59" s="6">
        <v>42015</v>
      </c>
      <c r="B59" s="6">
        <v>20</v>
      </c>
      <c r="C59" s="9">
        <f t="shared" si="1"/>
        <v>750</v>
      </c>
      <c r="D59" s="6"/>
      <c r="E59" s="6" t="s">
        <v>31</v>
      </c>
      <c r="F59" s="6">
        <v>1</v>
      </c>
      <c r="G59" s="2" t="s">
        <v>24</v>
      </c>
      <c r="H59" s="2" t="s">
        <v>26</v>
      </c>
    </row>
    <row r="60" ht="16.5" spans="1:8">
      <c r="A60" s="6">
        <v>42016</v>
      </c>
      <c r="B60" s="6">
        <v>20</v>
      </c>
      <c r="C60" s="9">
        <f t="shared" si="1"/>
        <v>800</v>
      </c>
      <c r="D60" s="9"/>
      <c r="E60" s="6" t="s">
        <v>31</v>
      </c>
      <c r="F60" s="6">
        <v>1</v>
      </c>
      <c r="G60" s="2" t="s">
        <v>24</v>
      </c>
      <c r="H60" s="2" t="s">
        <v>28</v>
      </c>
    </row>
    <row r="61" ht="16.5" spans="1:8">
      <c r="A61" s="6">
        <v>42017</v>
      </c>
      <c r="B61" s="6">
        <v>20</v>
      </c>
      <c r="C61" s="9">
        <f t="shared" si="1"/>
        <v>850</v>
      </c>
      <c r="D61" s="9"/>
      <c r="E61" s="6" t="s">
        <v>31</v>
      </c>
      <c r="F61" s="6">
        <v>1</v>
      </c>
      <c r="G61" s="2" t="s">
        <v>24</v>
      </c>
      <c r="H61" s="2" t="s">
        <v>28</v>
      </c>
    </row>
    <row r="62" ht="16.5" spans="1:8">
      <c r="A62" s="6">
        <v>42018</v>
      </c>
      <c r="B62" s="6">
        <v>20</v>
      </c>
      <c r="C62" s="9">
        <f t="shared" si="1"/>
        <v>900</v>
      </c>
      <c r="D62" s="9"/>
      <c r="E62" s="6" t="s">
        <v>31</v>
      </c>
      <c r="F62" s="6">
        <v>1</v>
      </c>
      <c r="G62" s="2" t="s">
        <v>24</v>
      </c>
      <c r="H62" s="2" t="s">
        <v>28</v>
      </c>
    </row>
    <row r="63" ht="16.5" spans="1:8">
      <c r="A63" s="6">
        <v>42019</v>
      </c>
      <c r="B63" s="6">
        <v>20</v>
      </c>
      <c r="C63" s="9">
        <f t="shared" si="1"/>
        <v>950</v>
      </c>
      <c r="D63" s="9"/>
      <c r="E63" s="6" t="s">
        <v>31</v>
      </c>
      <c r="F63" s="6">
        <v>1</v>
      </c>
      <c r="G63" s="2" t="s">
        <v>24</v>
      </c>
      <c r="H63" s="2" t="s">
        <v>28</v>
      </c>
    </row>
    <row r="64" ht="16.5" spans="1:8">
      <c r="A64" s="6">
        <v>42020</v>
      </c>
      <c r="B64" s="6">
        <v>20</v>
      </c>
      <c r="C64" s="9">
        <f t="shared" si="1"/>
        <v>1000</v>
      </c>
      <c r="D64" s="6"/>
      <c r="E64" s="6" t="s">
        <v>31</v>
      </c>
      <c r="F64" s="6">
        <v>1</v>
      </c>
      <c r="G64" s="2" t="s">
        <v>24</v>
      </c>
      <c r="H64" s="2" t="s">
        <v>28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B28" sqref="B28"/>
    </sheetView>
  </sheetViews>
  <sheetFormatPr defaultColWidth="9" defaultRowHeight="13.5"/>
  <cols>
    <col min="1" max="1" width="27.375" customWidth="1"/>
    <col min="2" max="2" width="27.125" customWidth="1"/>
    <col min="3" max="3" width="11" customWidth="1"/>
    <col min="4" max="4" width="10.875" customWidth="1"/>
    <col min="5" max="6" width="27.125" customWidth="1"/>
    <col min="8" max="8" width="10.375"/>
  </cols>
  <sheetData>
    <row r="1" ht="16.5" spans="1:4">
      <c r="A1" s="1" t="s">
        <v>0</v>
      </c>
      <c r="B1" s="1" t="s">
        <v>4</v>
      </c>
      <c r="C1" s="1" t="s">
        <v>32</v>
      </c>
      <c r="D1" s="2" t="s">
        <v>6</v>
      </c>
    </row>
    <row r="2" ht="16.5" spans="1:4">
      <c r="A2" s="4" t="s">
        <v>33</v>
      </c>
      <c r="B2" s="1" t="s">
        <v>12</v>
      </c>
      <c r="C2" s="1" t="s">
        <v>34</v>
      </c>
      <c r="D2" s="2" t="s">
        <v>14</v>
      </c>
    </row>
    <row r="3" ht="16.5" spans="1:12">
      <c r="A3" s="1" t="s">
        <v>16</v>
      </c>
      <c r="B3" s="1" t="s">
        <v>18</v>
      </c>
      <c r="C3" s="1" t="s">
        <v>16</v>
      </c>
      <c r="D3" s="2" t="s">
        <v>16</v>
      </c>
      <c r="K3" t="s">
        <v>35</v>
      </c>
      <c r="L3" t="s">
        <v>36</v>
      </c>
    </row>
    <row r="4" ht="16.5" spans="1:4">
      <c r="A4" s="4" t="s">
        <v>37</v>
      </c>
      <c r="B4" s="1" t="s">
        <v>20</v>
      </c>
      <c r="C4" s="1"/>
      <c r="D4" s="2" t="s">
        <v>20</v>
      </c>
    </row>
    <row r="5" ht="16.5" spans="1:8">
      <c r="A5" s="4">
        <v>1049</v>
      </c>
      <c r="B5" s="4" t="s">
        <v>38</v>
      </c>
      <c r="C5" s="1">
        <v>5</v>
      </c>
      <c r="D5" s="2" t="s">
        <v>22</v>
      </c>
      <c r="E5" s="4" t="s">
        <v>39</v>
      </c>
      <c r="G5">
        <v>6</v>
      </c>
      <c r="H5">
        <f>G5*5</f>
        <v>30</v>
      </c>
    </row>
    <row r="6" ht="16.5" spans="1:8">
      <c r="A6" s="4">
        <v>1050</v>
      </c>
      <c r="B6" s="4" t="s">
        <v>40</v>
      </c>
      <c r="C6" s="1">
        <v>5</v>
      </c>
      <c r="D6" s="2" t="s">
        <v>22</v>
      </c>
      <c r="E6" s="4" t="s">
        <v>41</v>
      </c>
      <c r="G6">
        <v>18</v>
      </c>
      <c r="H6">
        <f>G6*5</f>
        <v>90</v>
      </c>
    </row>
    <row r="7" ht="16.5" spans="1:8">
      <c r="A7" s="4">
        <v>1051</v>
      </c>
      <c r="B7" s="4" t="s">
        <v>42</v>
      </c>
      <c r="C7" s="1">
        <v>5</v>
      </c>
      <c r="D7" s="2" t="s">
        <v>22</v>
      </c>
      <c r="E7" s="4" t="s">
        <v>43</v>
      </c>
      <c r="G7">
        <v>30</v>
      </c>
      <c r="H7">
        <f>G7*5</f>
        <v>150</v>
      </c>
    </row>
    <row r="8" ht="16.5" spans="1:8">
      <c r="A8" s="4">
        <v>1052</v>
      </c>
      <c r="B8" s="4" t="s">
        <v>44</v>
      </c>
      <c r="C8" s="1">
        <v>5</v>
      </c>
      <c r="D8" s="2" t="s">
        <v>22</v>
      </c>
      <c r="E8" s="4" t="s">
        <v>45</v>
      </c>
      <c r="G8">
        <v>68</v>
      </c>
      <c r="H8">
        <f>G8*5</f>
        <v>340</v>
      </c>
    </row>
    <row r="9" ht="16.5" spans="1:8">
      <c r="A9" s="4">
        <v>1053</v>
      </c>
      <c r="B9" s="4" t="s">
        <v>46</v>
      </c>
      <c r="C9" s="1">
        <v>5</v>
      </c>
      <c r="D9" s="2" t="s">
        <v>22</v>
      </c>
      <c r="E9" s="4" t="s">
        <v>47</v>
      </c>
      <c r="G9">
        <v>98</v>
      </c>
      <c r="H9">
        <f>G9*5</f>
        <v>490</v>
      </c>
    </row>
    <row r="10" ht="16.5" spans="1:8">
      <c r="A10" s="4">
        <v>1054</v>
      </c>
      <c r="B10" s="4" t="s">
        <v>48</v>
      </c>
      <c r="C10" s="4"/>
      <c r="D10" s="2" t="s">
        <v>22</v>
      </c>
      <c r="E10" s="4" t="s">
        <v>49</v>
      </c>
      <c r="F10">
        <v>0.85</v>
      </c>
      <c r="G10">
        <v>128</v>
      </c>
      <c r="H10">
        <f>G10*5</f>
        <v>640</v>
      </c>
    </row>
    <row r="11" ht="16.5" spans="1:8">
      <c r="A11" s="4">
        <v>1055</v>
      </c>
      <c r="B11" s="4" t="s">
        <v>50</v>
      </c>
      <c r="C11" s="1">
        <v>5</v>
      </c>
      <c r="D11" s="2" t="s">
        <v>30</v>
      </c>
      <c r="E11" s="4" t="s">
        <v>51</v>
      </c>
      <c r="F11">
        <v>1</v>
      </c>
      <c r="G11">
        <v>6</v>
      </c>
      <c r="H11">
        <f>G11*0.85</f>
        <v>5.1</v>
      </c>
    </row>
    <row r="12" ht="16.5" spans="1:8">
      <c r="A12" s="4">
        <v>1056</v>
      </c>
      <c r="B12" s="4" t="s">
        <v>52</v>
      </c>
      <c r="C12" s="1">
        <v>5</v>
      </c>
      <c r="D12" s="2" t="s">
        <v>30</v>
      </c>
      <c r="E12" s="4" t="s">
        <v>53</v>
      </c>
      <c r="F12">
        <v>0.98</v>
      </c>
      <c r="G12">
        <v>18</v>
      </c>
      <c r="H12">
        <f>G12*0.95</f>
        <v>17.1</v>
      </c>
    </row>
    <row r="13" ht="16.5" spans="1:8">
      <c r="A13" s="4">
        <v>1057</v>
      </c>
      <c r="B13" s="4" t="s">
        <v>54</v>
      </c>
      <c r="C13" s="1">
        <v>5</v>
      </c>
      <c r="D13" s="2" t="s">
        <v>30</v>
      </c>
      <c r="E13" s="4" t="s">
        <v>55</v>
      </c>
      <c r="F13">
        <v>0.95</v>
      </c>
      <c r="G13">
        <v>30</v>
      </c>
      <c r="H13">
        <f>G13*0.95</f>
        <v>28.5</v>
      </c>
    </row>
    <row r="14" ht="16.5" spans="1:8">
      <c r="A14" s="4">
        <v>1058</v>
      </c>
      <c r="B14" s="4" t="s">
        <v>56</v>
      </c>
      <c r="C14" s="1">
        <v>5</v>
      </c>
      <c r="D14" s="2" t="s">
        <v>30</v>
      </c>
      <c r="E14" s="4" t="s">
        <v>57</v>
      </c>
      <c r="F14">
        <v>0.92</v>
      </c>
      <c r="G14">
        <v>68</v>
      </c>
      <c r="H14">
        <f>G14*0.92</f>
        <v>62.56</v>
      </c>
    </row>
    <row r="15" ht="16.5" spans="1:8">
      <c r="A15" s="4">
        <v>1059</v>
      </c>
      <c r="B15" s="4" t="s">
        <v>58</v>
      </c>
      <c r="C15" s="1">
        <v>5</v>
      </c>
      <c r="D15" s="2" t="s">
        <v>30</v>
      </c>
      <c r="E15" s="4" t="s">
        <v>59</v>
      </c>
      <c r="F15">
        <v>0.88</v>
      </c>
      <c r="G15">
        <v>98</v>
      </c>
      <c r="H15">
        <f>G15*0.88</f>
        <v>86.24</v>
      </c>
    </row>
    <row r="16" ht="16.5" spans="1:8">
      <c r="A16" s="4">
        <v>1060</v>
      </c>
      <c r="B16" s="4" t="s">
        <v>60</v>
      </c>
      <c r="C16" s="4"/>
      <c r="D16" s="2" t="s">
        <v>30</v>
      </c>
      <c r="E16" s="4" t="s">
        <v>61</v>
      </c>
      <c r="F16">
        <v>0.85</v>
      </c>
      <c r="G16">
        <v>128</v>
      </c>
      <c r="H16">
        <f>G16*0.85</f>
        <v>108.8</v>
      </c>
    </row>
    <row r="17" ht="16.5" spans="1:5">
      <c r="A17" s="4">
        <v>1061</v>
      </c>
      <c r="B17" s="4" t="s">
        <v>62</v>
      </c>
      <c r="C17" s="4">
        <v>5</v>
      </c>
      <c r="D17" s="4">
        <v>2</v>
      </c>
      <c r="E17" s="4" t="s">
        <v>63</v>
      </c>
    </row>
    <row r="18" ht="16.5" spans="1:5">
      <c r="A18" s="4">
        <v>1062</v>
      </c>
      <c r="B18" s="4" t="s">
        <v>64</v>
      </c>
      <c r="C18" s="4">
        <v>5</v>
      </c>
      <c r="D18" s="4">
        <v>2</v>
      </c>
      <c r="E18" s="4" t="s">
        <v>65</v>
      </c>
    </row>
    <row r="19" ht="16.5" spans="1:5">
      <c r="A19" s="4">
        <v>1063</v>
      </c>
      <c r="B19" s="4" t="s">
        <v>66</v>
      </c>
      <c r="C19" s="4">
        <v>5</v>
      </c>
      <c r="D19" s="4">
        <v>2</v>
      </c>
      <c r="E19" s="4" t="s">
        <v>67</v>
      </c>
    </row>
    <row r="20" ht="16.5" spans="1:5">
      <c r="A20" s="4">
        <v>1064</v>
      </c>
      <c r="B20" s="4" t="s">
        <v>68</v>
      </c>
      <c r="C20" s="4">
        <v>5</v>
      </c>
      <c r="D20" s="4">
        <v>2</v>
      </c>
      <c r="E20" s="4" t="s">
        <v>69</v>
      </c>
    </row>
    <row r="21" ht="16.5" spans="1:5">
      <c r="A21" s="4">
        <v>1065</v>
      </c>
      <c r="B21" s="4" t="s">
        <v>70</v>
      </c>
      <c r="C21" s="4">
        <v>5</v>
      </c>
      <c r="D21" s="4">
        <v>2</v>
      </c>
      <c r="E21" s="4" t="s">
        <v>71</v>
      </c>
    </row>
    <row r="22" ht="16.5" spans="1:6">
      <c r="A22" s="4">
        <v>1066</v>
      </c>
      <c r="B22" s="4" t="s">
        <v>72</v>
      </c>
      <c r="C22" s="4"/>
      <c r="D22" s="4">
        <v>2</v>
      </c>
      <c r="E22" s="4" t="s">
        <v>73</v>
      </c>
      <c r="F22">
        <v>0.85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G16" sqref="G16"/>
    </sheetView>
  </sheetViews>
  <sheetFormatPr defaultColWidth="9" defaultRowHeight="13.5"/>
  <cols>
    <col min="2" max="2" width="60.375" customWidth="1"/>
    <col min="3" max="3" width="12.25" customWidth="1"/>
    <col min="4" max="4" width="10.875" customWidth="1"/>
    <col min="6" max="6" width="20.375" customWidth="1"/>
  </cols>
  <sheetData>
    <row r="1" ht="16.5" spans="1:4">
      <c r="A1" s="1" t="s">
        <v>0</v>
      </c>
      <c r="B1" s="1" t="s">
        <v>4</v>
      </c>
      <c r="C1" s="1" t="s">
        <v>74</v>
      </c>
      <c r="D1" s="2" t="s">
        <v>6</v>
      </c>
    </row>
    <row r="2" ht="16.5" spans="1:4">
      <c r="A2" s="1" t="s">
        <v>75</v>
      </c>
      <c r="B2" s="1" t="s">
        <v>12</v>
      </c>
      <c r="C2" s="1" t="s">
        <v>76</v>
      </c>
      <c r="D2" s="2" t="s">
        <v>14</v>
      </c>
    </row>
    <row r="3" ht="16.5" spans="1:4">
      <c r="A3" s="1" t="s">
        <v>16</v>
      </c>
      <c r="B3" s="1" t="s">
        <v>18</v>
      </c>
      <c r="C3" s="1" t="s">
        <v>17</v>
      </c>
      <c r="D3" s="2" t="s">
        <v>16</v>
      </c>
    </row>
    <row r="4" ht="16.5" spans="1:4">
      <c r="A4" s="1" t="s">
        <v>20</v>
      </c>
      <c r="B4" s="1" t="s">
        <v>20</v>
      </c>
      <c r="C4" s="1" t="s">
        <v>20</v>
      </c>
      <c r="D4" s="2" t="s">
        <v>20</v>
      </c>
    </row>
    <row r="5" ht="16.5" spans="1:5">
      <c r="A5" s="1">
        <v>60001</v>
      </c>
      <c r="B5" s="3" t="s">
        <v>77</v>
      </c>
      <c r="C5" s="1" t="s">
        <v>78</v>
      </c>
      <c r="D5" s="2" t="s">
        <v>22</v>
      </c>
      <c r="E5">
        <v>1</v>
      </c>
    </row>
    <row r="6" ht="16.5" spans="1:5">
      <c r="A6" s="1">
        <v>60002</v>
      </c>
      <c r="B6" s="3" t="s">
        <v>79</v>
      </c>
      <c r="C6" s="4" t="s">
        <v>80</v>
      </c>
      <c r="D6" s="2" t="s">
        <v>22</v>
      </c>
      <c r="E6">
        <v>0.8</v>
      </c>
    </row>
    <row r="7" ht="16.5" spans="1:5">
      <c r="A7" s="1">
        <v>60003</v>
      </c>
      <c r="B7" s="3" t="s">
        <v>81</v>
      </c>
      <c r="C7" s="4" t="s">
        <v>82</v>
      </c>
      <c r="D7" s="2" t="s">
        <v>22</v>
      </c>
      <c r="E7">
        <v>0.75</v>
      </c>
    </row>
    <row r="8" ht="16.5" spans="1:5">
      <c r="A8" s="1">
        <v>60004</v>
      </c>
      <c r="B8" s="3" t="s">
        <v>83</v>
      </c>
      <c r="C8" s="4" t="s">
        <v>84</v>
      </c>
      <c r="D8" s="2" t="s">
        <v>22</v>
      </c>
      <c r="E8">
        <v>0.7</v>
      </c>
    </row>
    <row r="9" ht="16.5" spans="1:5">
      <c r="A9" s="1">
        <v>60005</v>
      </c>
      <c r="B9" s="3" t="s">
        <v>85</v>
      </c>
      <c r="C9" s="4" t="s">
        <v>86</v>
      </c>
      <c r="D9" s="2" t="s">
        <v>22</v>
      </c>
      <c r="E9">
        <v>0.6</v>
      </c>
    </row>
    <row r="10" ht="16.5" spans="1:5">
      <c r="A10" s="1">
        <v>60006</v>
      </c>
      <c r="B10" s="3" t="s">
        <v>87</v>
      </c>
      <c r="C10" s="1" t="s">
        <v>88</v>
      </c>
      <c r="D10" s="2" t="s">
        <v>22</v>
      </c>
      <c r="E10">
        <v>0.5</v>
      </c>
    </row>
    <row r="11" ht="16.5" spans="1:5">
      <c r="A11" s="1">
        <v>60007</v>
      </c>
      <c r="B11" s="3" t="s">
        <v>89</v>
      </c>
      <c r="C11" s="1" t="s">
        <v>90</v>
      </c>
      <c r="D11" s="2" t="s">
        <v>22</v>
      </c>
      <c r="E11">
        <v>0.4</v>
      </c>
    </row>
    <row r="12" ht="16.5" spans="1:5">
      <c r="A12" s="1">
        <v>60008</v>
      </c>
      <c r="B12" s="3" t="s">
        <v>91</v>
      </c>
      <c r="C12" s="1" t="s">
        <v>92</v>
      </c>
      <c r="D12" s="2" t="s">
        <v>22</v>
      </c>
      <c r="E12">
        <v>0.3</v>
      </c>
    </row>
    <row r="13" ht="16.5" spans="1:12">
      <c r="A13" s="1">
        <v>60009</v>
      </c>
      <c r="B13" s="3" t="s">
        <v>93</v>
      </c>
      <c r="C13" s="1" t="s">
        <v>94</v>
      </c>
      <c r="D13" s="2" t="s">
        <v>22</v>
      </c>
      <c r="E13">
        <v>0.2</v>
      </c>
      <c r="J13">
        <v>10002</v>
      </c>
      <c r="K13">
        <v>20012</v>
      </c>
      <c r="L13">
        <v>30032</v>
      </c>
    </row>
    <row r="14" ht="16.5" spans="1:16">
      <c r="A14" s="1">
        <v>60101</v>
      </c>
      <c r="B14" s="5" t="s">
        <v>95</v>
      </c>
      <c r="C14" s="1" t="s">
        <v>78</v>
      </c>
      <c r="D14" s="2" t="s">
        <v>30</v>
      </c>
      <c r="E14">
        <v>1</v>
      </c>
      <c r="F14" t="s">
        <v>96</v>
      </c>
      <c r="G14" t="s">
        <v>97</v>
      </c>
      <c r="H14" t="s">
        <v>98</v>
      </c>
      <c r="J14">
        <v>5000</v>
      </c>
      <c r="K14">
        <v>100</v>
      </c>
      <c r="L14">
        <v>20</v>
      </c>
      <c r="M14" t="str">
        <f>$J$13&amp;","&amp;J14</f>
        <v>10002,5000</v>
      </c>
      <c r="N14" t="str">
        <f>$K$13&amp;","&amp;K14</f>
        <v>20012,100</v>
      </c>
      <c r="O14" t="str">
        <f>$L$13&amp;","&amp;L14</f>
        <v>30032,20</v>
      </c>
      <c r="P14" t="str">
        <f>M14&amp;"|"&amp;N14&amp;"|"&amp;O14</f>
        <v>10002,5000|20012,100|30032,20</v>
      </c>
    </row>
    <row r="15" ht="16.5" spans="1:16">
      <c r="A15" s="1">
        <v>60102</v>
      </c>
      <c r="B15" s="5" t="s">
        <v>99</v>
      </c>
      <c r="C15" s="4" t="s">
        <v>80</v>
      </c>
      <c r="D15" s="2" t="s">
        <v>30</v>
      </c>
      <c r="E15">
        <v>0.8</v>
      </c>
      <c r="J15">
        <f>$J$14*$E15</f>
        <v>4000</v>
      </c>
      <c r="K15">
        <f>$K$14*$E15</f>
        <v>80</v>
      </c>
      <c r="L15">
        <f>$L$14*$E15</f>
        <v>16</v>
      </c>
      <c r="M15" t="str">
        <f t="shared" ref="M15:M22" si="0">$J$13&amp;","&amp;J15</f>
        <v>10002,4000</v>
      </c>
      <c r="N15" t="str">
        <f t="shared" ref="N15:N22" si="1">$K$13&amp;","&amp;K15</f>
        <v>20012,80</v>
      </c>
      <c r="O15" t="str">
        <f t="shared" ref="O15:O22" si="2">$L$13&amp;","&amp;L15</f>
        <v>30032,16</v>
      </c>
      <c r="P15" t="str">
        <f t="shared" ref="P15:P22" si="3">M15&amp;"|"&amp;N15&amp;"|"&amp;O15</f>
        <v>10002,4000|20012,80|30032,16</v>
      </c>
    </row>
    <row r="16" ht="16.5" spans="1:16">
      <c r="A16" s="1">
        <v>60103</v>
      </c>
      <c r="B16" s="5" t="s">
        <v>100</v>
      </c>
      <c r="C16" s="4" t="s">
        <v>82</v>
      </c>
      <c r="D16" s="2" t="s">
        <v>30</v>
      </c>
      <c r="E16">
        <v>0.75</v>
      </c>
      <c r="J16">
        <f t="shared" ref="J16:J22" si="4">$J$14*$E16</f>
        <v>3750</v>
      </c>
      <c r="K16">
        <f t="shared" ref="K16:K22" si="5">$K$14*$E16</f>
        <v>75</v>
      </c>
      <c r="L16">
        <f t="shared" ref="L16:L22" si="6">$L$14*$E16</f>
        <v>15</v>
      </c>
      <c r="M16" t="str">
        <f t="shared" si="0"/>
        <v>10002,3750</v>
      </c>
      <c r="N16" t="str">
        <f t="shared" si="1"/>
        <v>20012,75</v>
      </c>
      <c r="O16" t="str">
        <f t="shared" si="2"/>
        <v>30032,15</v>
      </c>
      <c r="P16" t="str">
        <f t="shared" si="3"/>
        <v>10002,3750|20012,75|30032,15</v>
      </c>
    </row>
    <row r="17" ht="16.5" spans="1:16">
      <c r="A17" s="1">
        <v>60104</v>
      </c>
      <c r="B17" s="5" t="s">
        <v>101</v>
      </c>
      <c r="C17" s="4" t="s">
        <v>84</v>
      </c>
      <c r="D17" s="2" t="s">
        <v>30</v>
      </c>
      <c r="E17">
        <v>0.7</v>
      </c>
      <c r="J17">
        <f t="shared" si="4"/>
        <v>3500</v>
      </c>
      <c r="K17">
        <f t="shared" si="5"/>
        <v>70</v>
      </c>
      <c r="L17">
        <f t="shared" si="6"/>
        <v>14</v>
      </c>
      <c r="M17" t="str">
        <f t="shared" si="0"/>
        <v>10002,3500</v>
      </c>
      <c r="N17" t="str">
        <f t="shared" si="1"/>
        <v>20012,70</v>
      </c>
      <c r="O17" t="str">
        <f t="shared" si="2"/>
        <v>30032,14</v>
      </c>
      <c r="P17" t="str">
        <f t="shared" si="3"/>
        <v>10002,3500|20012,70|30032,14</v>
      </c>
    </row>
    <row r="18" ht="16.5" spans="1:16">
      <c r="A18" s="1">
        <v>60105</v>
      </c>
      <c r="B18" s="5" t="s">
        <v>102</v>
      </c>
      <c r="C18" s="4" t="s">
        <v>86</v>
      </c>
      <c r="D18" s="2" t="s">
        <v>30</v>
      </c>
      <c r="E18">
        <v>0.6</v>
      </c>
      <c r="J18">
        <f t="shared" si="4"/>
        <v>3000</v>
      </c>
      <c r="K18">
        <f t="shared" si="5"/>
        <v>60</v>
      </c>
      <c r="L18">
        <f t="shared" si="6"/>
        <v>12</v>
      </c>
      <c r="M18" t="str">
        <f t="shared" si="0"/>
        <v>10002,3000</v>
      </c>
      <c r="N18" t="str">
        <f t="shared" si="1"/>
        <v>20012,60</v>
      </c>
      <c r="O18" t="str">
        <f t="shared" si="2"/>
        <v>30032,12</v>
      </c>
      <c r="P18" t="str">
        <f t="shared" si="3"/>
        <v>10002,3000|20012,60|30032,12</v>
      </c>
    </row>
    <row r="19" ht="16.5" spans="1:16">
      <c r="A19" s="1">
        <v>60106</v>
      </c>
      <c r="B19" s="5" t="s">
        <v>103</v>
      </c>
      <c r="C19" s="1" t="s">
        <v>88</v>
      </c>
      <c r="D19" s="2" t="s">
        <v>30</v>
      </c>
      <c r="E19">
        <v>0.5</v>
      </c>
      <c r="J19">
        <f t="shared" si="4"/>
        <v>2500</v>
      </c>
      <c r="K19">
        <f t="shared" si="5"/>
        <v>50</v>
      </c>
      <c r="L19">
        <f t="shared" si="6"/>
        <v>10</v>
      </c>
      <c r="M19" t="str">
        <f t="shared" si="0"/>
        <v>10002,2500</v>
      </c>
      <c r="N19" t="str">
        <f t="shared" si="1"/>
        <v>20012,50</v>
      </c>
      <c r="O19" t="str">
        <f t="shared" si="2"/>
        <v>30032,10</v>
      </c>
      <c r="P19" t="str">
        <f t="shared" si="3"/>
        <v>10002,2500|20012,50|30032,10</v>
      </c>
    </row>
    <row r="20" ht="16.5" spans="1:16">
      <c r="A20" s="1">
        <v>60107</v>
      </c>
      <c r="B20" s="5" t="s">
        <v>104</v>
      </c>
      <c r="C20" s="1" t="s">
        <v>90</v>
      </c>
      <c r="D20" s="2" t="s">
        <v>30</v>
      </c>
      <c r="E20">
        <v>0.4</v>
      </c>
      <c r="J20">
        <f t="shared" si="4"/>
        <v>2000</v>
      </c>
      <c r="K20">
        <f t="shared" si="5"/>
        <v>40</v>
      </c>
      <c r="L20">
        <f t="shared" si="6"/>
        <v>8</v>
      </c>
      <c r="M20" t="str">
        <f t="shared" si="0"/>
        <v>10002,2000</v>
      </c>
      <c r="N20" t="str">
        <f t="shared" si="1"/>
        <v>20012,40</v>
      </c>
      <c r="O20" t="str">
        <f t="shared" si="2"/>
        <v>30032,8</v>
      </c>
      <c r="P20" t="str">
        <f t="shared" si="3"/>
        <v>10002,2000|20012,40|30032,8</v>
      </c>
    </row>
    <row r="21" ht="16.5" spans="1:16">
      <c r="A21" s="1">
        <v>60108</v>
      </c>
      <c r="B21" s="5" t="s">
        <v>105</v>
      </c>
      <c r="C21" s="1" t="s">
        <v>92</v>
      </c>
      <c r="D21" s="2" t="s">
        <v>30</v>
      </c>
      <c r="E21">
        <v>0.3</v>
      </c>
      <c r="J21">
        <f t="shared" si="4"/>
        <v>1500</v>
      </c>
      <c r="K21">
        <f t="shared" si="5"/>
        <v>30</v>
      </c>
      <c r="L21">
        <f t="shared" si="6"/>
        <v>6</v>
      </c>
      <c r="M21" t="str">
        <f t="shared" si="0"/>
        <v>10002,1500</v>
      </c>
      <c r="N21" t="str">
        <f t="shared" si="1"/>
        <v>20012,30</v>
      </c>
      <c r="O21" t="str">
        <f t="shared" si="2"/>
        <v>30032,6</v>
      </c>
      <c r="P21" t="str">
        <f t="shared" si="3"/>
        <v>10002,1500|20012,30|30032,6</v>
      </c>
    </row>
    <row r="22" ht="16.5" spans="1:16">
      <c r="A22" s="1">
        <v>60109</v>
      </c>
      <c r="B22" s="5" t="s">
        <v>106</v>
      </c>
      <c r="C22" s="1" t="s">
        <v>94</v>
      </c>
      <c r="D22" s="2" t="s">
        <v>30</v>
      </c>
      <c r="E22">
        <v>0.2</v>
      </c>
      <c r="J22">
        <f t="shared" si="4"/>
        <v>1000</v>
      </c>
      <c r="K22">
        <f t="shared" si="5"/>
        <v>20</v>
      </c>
      <c r="L22">
        <f t="shared" si="6"/>
        <v>4</v>
      </c>
      <c r="M22" t="str">
        <f t="shared" si="0"/>
        <v>10002,1000</v>
      </c>
      <c r="N22" t="str">
        <f t="shared" si="1"/>
        <v>20012,20</v>
      </c>
      <c r="O22" t="str">
        <f t="shared" si="2"/>
        <v>30032,4</v>
      </c>
      <c r="P22" t="str">
        <f t="shared" si="3"/>
        <v>10002,1000|20012,20|30032,4</v>
      </c>
    </row>
    <row r="23" ht="16.5" spans="1:9">
      <c r="A23" s="1">
        <v>60201</v>
      </c>
      <c r="B23" s="5" t="s">
        <v>107</v>
      </c>
      <c r="C23" s="1" t="s">
        <v>78</v>
      </c>
      <c r="D23" s="2" t="s">
        <v>24</v>
      </c>
      <c r="E23">
        <v>1</v>
      </c>
      <c r="F23" t="s">
        <v>108</v>
      </c>
      <c r="G23" t="s">
        <v>97</v>
      </c>
      <c r="H23" t="s">
        <v>109</v>
      </c>
      <c r="I23" t="s">
        <v>107</v>
      </c>
    </row>
    <row r="24" ht="16.5" spans="1:9">
      <c r="A24" s="1">
        <v>60202</v>
      </c>
      <c r="B24" s="5" t="s">
        <v>110</v>
      </c>
      <c r="C24" s="4" t="s">
        <v>80</v>
      </c>
      <c r="D24" s="2" t="s">
        <v>24</v>
      </c>
      <c r="E24">
        <v>0.8</v>
      </c>
      <c r="I24" t="s">
        <v>110</v>
      </c>
    </row>
    <row r="25" ht="16.5" spans="1:9">
      <c r="A25" s="1">
        <v>60203</v>
      </c>
      <c r="B25" s="5" t="s">
        <v>111</v>
      </c>
      <c r="C25" s="4" t="s">
        <v>82</v>
      </c>
      <c r="D25" s="2" t="s">
        <v>24</v>
      </c>
      <c r="E25">
        <v>0.75</v>
      </c>
      <c r="I25" t="s">
        <v>111</v>
      </c>
    </row>
    <row r="26" ht="16.5" spans="1:9">
      <c r="A26" s="1">
        <v>60204</v>
      </c>
      <c r="B26" s="5" t="s">
        <v>112</v>
      </c>
      <c r="C26" s="4" t="s">
        <v>84</v>
      </c>
      <c r="D26" s="2" t="s">
        <v>24</v>
      </c>
      <c r="E26">
        <v>0.7</v>
      </c>
      <c r="I26" t="s">
        <v>112</v>
      </c>
    </row>
    <row r="27" ht="16.5" spans="1:9">
      <c r="A27" s="1">
        <v>60205</v>
      </c>
      <c r="B27" s="5" t="s">
        <v>113</v>
      </c>
      <c r="C27" s="4" t="s">
        <v>86</v>
      </c>
      <c r="D27" s="2" t="s">
        <v>24</v>
      </c>
      <c r="E27">
        <v>0.6</v>
      </c>
      <c r="I27" t="s">
        <v>113</v>
      </c>
    </row>
    <row r="28" ht="16.5" spans="1:9">
      <c r="A28" s="1">
        <v>60206</v>
      </c>
      <c r="B28" s="5" t="s">
        <v>114</v>
      </c>
      <c r="C28" s="1" t="s">
        <v>88</v>
      </c>
      <c r="D28" s="2" t="s">
        <v>24</v>
      </c>
      <c r="E28">
        <v>0.5</v>
      </c>
      <c r="I28" t="s">
        <v>114</v>
      </c>
    </row>
    <row r="29" ht="16.5" spans="1:9">
      <c r="A29" s="1">
        <v>60207</v>
      </c>
      <c r="B29" s="5" t="s">
        <v>115</v>
      </c>
      <c r="C29" s="1" t="s">
        <v>90</v>
      </c>
      <c r="D29" s="2" t="s">
        <v>24</v>
      </c>
      <c r="E29">
        <v>0.4</v>
      </c>
      <c r="I29" t="s">
        <v>115</v>
      </c>
    </row>
    <row r="30" ht="16.5" spans="1:9">
      <c r="A30" s="1">
        <v>60208</v>
      </c>
      <c r="B30" s="5" t="s">
        <v>116</v>
      </c>
      <c r="C30" s="1" t="s">
        <v>92</v>
      </c>
      <c r="D30" s="1" t="s">
        <v>24</v>
      </c>
      <c r="E30">
        <v>0.3</v>
      </c>
      <c r="I30" t="s">
        <v>116</v>
      </c>
    </row>
    <row r="31" ht="16.5" spans="1:9">
      <c r="A31" s="1">
        <v>60209</v>
      </c>
      <c r="B31" s="5" t="s">
        <v>117</v>
      </c>
      <c r="C31" s="1" t="s">
        <v>94</v>
      </c>
      <c r="D31" s="1" t="s">
        <v>24</v>
      </c>
      <c r="E31">
        <v>0.2</v>
      </c>
      <c r="I31" t="s">
        <v>117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(RankMission)</vt:lpstr>
      <vt:lpstr>(RankPack)</vt:lpstr>
      <vt:lpstr>(RankReward)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2023-05-12T11:15:00Z</dcterms:created>
  <dcterms:modified xsi:type="dcterms:W3CDTF">2023-11-27T11:48:21Z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