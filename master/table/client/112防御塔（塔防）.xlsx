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(DefendTower)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AAA</author>
  </authors>
  <commentList>
    <comment ref="G2" authorId="0">
      <text>
        <r>
          <rPr>
            <sz val="9"/>
            <rFont val="宋体"/>
            <charset val="134"/>
          </rPr>
          <t xml:space="preserve">
一秒60帧</t>
        </r>
      </text>
    </comment>
  </commentList>
</comments>
</file>

<file path=xl/comments2.xml><?xml version="1.0" encoding="utf-8"?>
<comments xmlns="http://schemas.openxmlformats.org/spreadsheetml/2006/main">
  <authors>
    <author>AAA</author>
    <author>admin</author>
  </authors>
  <commentList>
    <comment ref="B2" authorId="0">
      <text>
        <r>
          <rPr>
            <b/>
            <sz val="9"/>
            <rFont val="宋体"/>
            <charset val="134"/>
          </rPr>
          <t xml:space="preserve">0 白
</t>
        </r>
        <r>
          <rPr>
            <sz val="9"/>
            <rFont val="宋体"/>
            <charset val="134"/>
          </rPr>
          <t>1 绿
2 蓝
3 紫
4 橙
5 红
6 金
7 青
8 彩</t>
        </r>
      </text>
    </comment>
    <comment ref="C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1.火系：烤箱
2.冰系：立式空调
3.物理系：刀架
4.雷电系：电蚊拍
5.木系：绿色大盆栽
6.毒系：垃圾桶
7.风系：风扇
8.光系：台灯
</t>
        </r>
      </text>
    </comment>
    <comment ref="F2" authorId="0">
      <text>
        <r>
          <rPr>
            <sz val="9"/>
            <rFont val="宋体"/>
            <charset val="134"/>
          </rPr>
          <t>装备格，从左上到右下
0.武器
1.头盔
2.衣服
3.裤子
4.护臂
5.腰带
6.护腕
7.靴子
8.项链
9.护符
10.号角
11.刺青</t>
        </r>
      </text>
    </comment>
    <comment ref="G2" authorId="0">
      <text>
        <r>
          <rPr>
            <sz val="9"/>
            <rFont val="宋体"/>
            <charset val="134"/>
          </rPr>
          <t xml:space="preserve">
格式：
目前已实装技能
火球数量+1
闪电链数量+1
闪电链弹跳次数+1
冰霜新星数量+1
冰霜新星范围+50
未实装技能
伤害加成（所有、火球、闪电链、冰霜）
火球爆炸
冰霜路面
闪电分裂
</t>
        </r>
      </text>
    </comment>
    <comment ref="H2" authorId="0">
      <text>
        <r>
          <rPr>
            <sz val="9"/>
            <rFont val="宋体"/>
            <charset val="134"/>
          </rPr>
          <t xml:space="preserve">
这件装备可以随机出的额外词条数量</t>
        </r>
      </text>
    </comment>
    <comment ref="I2" authorId="0">
      <text>
        <r>
          <rPr>
            <sz val="9"/>
            <rFont val="宋体"/>
            <charset val="134"/>
          </rPr>
          <t xml:space="preserve">
这件装备可以随机出的额外词条数量</t>
        </r>
      </text>
    </comment>
  </commentList>
</comments>
</file>

<file path=xl/sharedStrings.xml><?xml version="1.0" encoding="utf-8"?>
<sst xmlns="http://schemas.openxmlformats.org/spreadsheetml/2006/main" count="1266" uniqueCount="231">
  <si>
    <t>id</t>
  </si>
  <si>
    <t>img</t>
  </si>
  <si>
    <t>name</t>
  </si>
  <si>
    <t>tableIgnore</t>
  </si>
  <si>
    <t>battleSkill</t>
  </si>
  <si>
    <t>part</t>
  </si>
  <si>
    <t>normalAttackInterval</t>
  </si>
  <si>
    <t>life</t>
  </si>
  <si>
    <t>armor</t>
  </si>
  <si>
    <t>damage</t>
  </si>
  <si>
    <t>normalAttack</t>
  </si>
  <si>
    <t>normalAttackRange</t>
  </si>
  <si>
    <t>唯一id</t>
  </si>
  <si>
    <t>图片资源</t>
  </si>
  <si>
    <t>防御塔名称</t>
  </si>
  <si>
    <t>多语言备注</t>
  </si>
  <si>
    <t>战斗技能</t>
  </si>
  <si>
    <t>关联装备部位</t>
  </si>
  <si>
    <t>普攻间隔(毫秒)</t>
  </si>
  <si>
    <t>生命系数</t>
  </si>
  <si>
    <t>防御系数</t>
  </si>
  <si>
    <t>伤害系数</t>
  </si>
  <si>
    <t>普攻战斗技能</t>
  </si>
  <si>
    <t>普攻范围(像素)</t>
  </si>
  <si>
    <t>int</t>
  </si>
  <si>
    <t>string</t>
  </si>
  <si>
    <t>int[]</t>
  </si>
  <si>
    <t>notEmpty</t>
  </si>
  <si>
    <t>Role_toaster</t>
  </si>
  <si>
    <t>_rs烤火箱</t>
  </si>
  <si>
    <t>Role_freezer</t>
  </si>
  <si>
    <t>_rs冰箱</t>
  </si>
  <si>
    <t>Role_cooker</t>
  </si>
  <si>
    <t>_rs电蚊拍</t>
  </si>
  <si>
    <t>Role_Electrostatic</t>
  </si>
  <si>
    <t>_rs绿植</t>
  </si>
  <si>
    <t>Role_trashcan</t>
  </si>
  <si>
    <t>_rs垃圾桶</t>
  </si>
  <si>
    <t>Role_lamp</t>
  </si>
  <si>
    <t>_rs台灯</t>
  </si>
  <si>
    <t>Role_Nightlight</t>
  </si>
  <si>
    <t>_rs刀架</t>
  </si>
  <si>
    <t>Role_fan</t>
  </si>
  <si>
    <t>_rs风扇</t>
  </si>
  <si>
    <t>quality</t>
  </si>
  <si>
    <t>property</t>
  </si>
  <si>
    <t>stat1</t>
  </si>
  <si>
    <t>stat2</t>
  </si>
  <si>
    <t>statPool</t>
  </si>
  <si>
    <t>statWeight</t>
  </si>
  <si>
    <t>coin</t>
  </si>
  <si>
    <t>exp</t>
  </si>
  <si>
    <t>skillTalent</t>
  </si>
  <si>
    <t>品质</t>
  </si>
  <si>
    <t>装备名称</t>
  </si>
  <si>
    <t>部位</t>
  </si>
  <si>
    <t>固定属性</t>
  </si>
  <si>
    <t>额外词条1</t>
  </si>
  <si>
    <t>额外词条2</t>
  </si>
  <si>
    <t>词条池</t>
  </si>
  <si>
    <t>词条权重</t>
  </si>
  <si>
    <t>金币</t>
  </si>
  <si>
    <t>经验</t>
  </si>
  <si>
    <t>关联技能天赋</t>
  </si>
  <si>
    <t>string[][]</t>
  </si>
  <si>
    <t>long</t>
  </si>
  <si>
    <t>notEmpty|idGroup,item</t>
  </si>
  <si>
    <t>sameLength,statPool</t>
  </si>
  <si>
    <t>table_equipment/tower_Fireball_1</t>
  </si>
  <si>
    <t>烤箱</t>
  </si>
  <si>
    <t>tower_Fireball_1</t>
  </si>
  <si>
    <t>attack,20+lv*2,20+lv*2.4|armor,4+lv*0.4,4+lv*0.48|maxHp,100+lv*10,100+lv*12</t>
  </si>
  <si>
    <t>8001|8101|8201|8301|8401|8501</t>
  </si>
  <si>
    <t>1|1|1|1|1|1</t>
  </si>
  <si>
    <t>attack,30+lv*3,30+lv*3.6|armor,6+lv*0.6,6+lv*0.72|maxHp,150+lv*15,150+lv*18</t>
  </si>
  <si>
    <t>8002|8102|8202|8302|8402|8502</t>
  </si>
  <si>
    <t>attack,40+lv*4,40+lv*4.8|armor,8+lv*0.8,8+lv*9.6|maxHp,200+lv*20,200+lv*24</t>
  </si>
  <si>
    <t>8003|8103|8203|8303|8403|8503</t>
  </si>
  <si>
    <t>attack,60+lv*6,60+lv*7.2|armor,12+lv*1.2,12+lv*1.44|maxHp,300+lv*30,300+lv*36</t>
  </si>
  <si>
    <t>8004|8104|8204|8304|8404|8504</t>
  </si>
  <si>
    <t>table_equipment/tower_Fireball_2</t>
  </si>
  <si>
    <t>烤炉</t>
  </si>
  <si>
    <t>tower_Fireball_2</t>
  </si>
  <si>
    <t>attack,90+lv*9,90+lv*10.8|armor,18+lv*1.8,18+lv*2.16|maxHp,450+lv*45,450+lv*54</t>
  </si>
  <si>
    <t>8005|8105|8205|8305|8405|8505</t>
  </si>
  <si>
    <t>table_equipment/tower_Fireball_3</t>
  </si>
  <si>
    <t>蜡烛</t>
  </si>
  <si>
    <t>tower_Fireball_3</t>
  </si>
  <si>
    <t>attack,140+lv*14,140+lv*16.8|armor,28+lv*2.8,28+lv*3.36|maxHp,700+lv*70,700+lv*84</t>
  </si>
  <si>
    <t>8006|8106|8206|8306|8406|8506</t>
  </si>
  <si>
    <t>table_equipment/tower_Fireball_4</t>
  </si>
  <si>
    <t>喷火器</t>
  </si>
  <si>
    <t>tower_Fireball_4</t>
  </si>
  <si>
    <t>attack,210+lv*21,210+lv*25.2|armor,42+lv*4.2,42+lv*5.04|maxHp,1050+lv*105,1050+lv*126</t>
  </si>
  <si>
    <t>8007|8107|8207|8307|8407|8507</t>
  </si>
  <si>
    <t>table_equipment/tower_Fireball_5</t>
  </si>
  <si>
    <t>加热柜</t>
  </si>
  <si>
    <t>tower_Fireball_5</t>
  </si>
  <si>
    <t>attack,330+lv*33,330+lv*39.6|armor,54+lv*5.4,54+lv*6.48|maxHp,1725+lv*172.5,1725+lv*207</t>
  </si>
  <si>
    <t>8008|8108|8208|8308|8408|8508</t>
  </si>
  <si>
    <t>table_equipment/tower_Fireball_6</t>
  </si>
  <si>
    <t>打火机</t>
  </si>
  <si>
    <t>tower_Fireball_6</t>
  </si>
  <si>
    <t>attack,490+lv*49,490+lv*49|armor,108+lv*10.8,108+lv*12.96|maxHp,2388+lv*238.8,2388+lv*287</t>
  </si>
  <si>
    <t>8009|8109|8209|8309|8409|8509</t>
  </si>
  <si>
    <t>table_equipment/tower_Frozen_1</t>
  </si>
  <si>
    <t>立式空调</t>
  </si>
  <si>
    <t>tower_Frozen_1</t>
  </si>
  <si>
    <t>table_equipment/tower_Frozen_2</t>
  </si>
  <si>
    <t>冰柜</t>
  </si>
  <si>
    <t>tower_Frozen_2</t>
  </si>
  <si>
    <t>table_equipment/tower_Frozen_3</t>
  </si>
  <si>
    <t>加湿器</t>
  </si>
  <si>
    <t>tower_Frozen_3</t>
  </si>
  <si>
    <t>table_equipment/tower_Frozen_4</t>
  </si>
  <si>
    <t>冰淇淋机</t>
  </si>
  <si>
    <t>tower_Frozen_4</t>
  </si>
  <si>
    <t>table_equipment/tower_Frozen_5</t>
  </si>
  <si>
    <t>制冰机</t>
  </si>
  <si>
    <t>tower_Frozen_5</t>
  </si>
  <si>
    <t>table_equipment/tower_Frozen_6</t>
  </si>
  <si>
    <t>冰箱</t>
  </si>
  <si>
    <t>tower_Frozen_6</t>
  </si>
  <si>
    <t>table_equipment/tower_Chainlightning_1</t>
  </si>
  <si>
    <t>电蚊拍</t>
  </si>
  <si>
    <t>tower_Chainlightning_1</t>
  </si>
  <si>
    <t>table_equipment/tower_Chainlightning_2</t>
  </si>
  <si>
    <t>电击枪</t>
  </si>
  <si>
    <t>tower_Chainlightning_2</t>
  </si>
  <si>
    <t>table_equipment/tower_Chainlightning_3</t>
  </si>
  <si>
    <t>电话</t>
  </si>
  <si>
    <t>tower_Chainlightning_3</t>
  </si>
  <si>
    <t>table_equipment/tower_Chainlightning_4</t>
  </si>
  <si>
    <t>特斯拉线圈</t>
  </si>
  <si>
    <t>tower_Chainlightning_4</t>
  </si>
  <si>
    <t>table_equipment/tower_Chainlightning_5</t>
  </si>
  <si>
    <t>静电球</t>
  </si>
  <si>
    <t>tower_Chainlightning_5</t>
  </si>
  <si>
    <t>table_equipment/tower_Chainlightning_6</t>
  </si>
  <si>
    <t>雷达</t>
  </si>
  <si>
    <t>tower_Chainlightning_6</t>
  </si>
  <si>
    <t>table_equipment/tower_Vine_1</t>
  </si>
  <si>
    <t>绿萝</t>
  </si>
  <si>
    <t>tower_Vine_1</t>
  </si>
  <si>
    <t>table_equipment/tower_Vine_2</t>
  </si>
  <si>
    <t>芦荟</t>
  </si>
  <si>
    <t>tower_Vine_2</t>
  </si>
  <si>
    <t>table_equipment/tower_Vine_3</t>
  </si>
  <si>
    <t>仙人掌</t>
  </si>
  <si>
    <t>tower_Vine_3</t>
  </si>
  <si>
    <t>table_equipment/tower_Vine_4</t>
  </si>
  <si>
    <t>橡皮树</t>
  </si>
  <si>
    <t>tower_Vine_4</t>
  </si>
  <si>
    <t>table_equipment/tower_Vine_5</t>
  </si>
  <si>
    <t>常青藤</t>
  </si>
  <si>
    <t>tower_Vine_5</t>
  </si>
  <si>
    <t>table_equipment/tower_Vine_6</t>
  </si>
  <si>
    <t>蔷薇</t>
  </si>
  <si>
    <t>tower_Vine_6</t>
  </si>
  <si>
    <t>table_equipment/tower_PoisonFrog_1</t>
  </si>
  <si>
    <t>垃圾桶</t>
  </si>
  <si>
    <t>tower_PoisonFrog_1</t>
  </si>
  <si>
    <t>table_equipment/tower_PoisonFrog_2</t>
  </si>
  <si>
    <t>马桶</t>
  </si>
  <si>
    <t>tower_PoisonFrog_2</t>
  </si>
  <si>
    <t>table_equipment/tower_PoisonFrog_3</t>
  </si>
  <si>
    <t>马桶刷</t>
  </si>
  <si>
    <t>tower_PoisonFrog_3</t>
  </si>
  <si>
    <t>table_equipment/tower_PoisonFrog_4</t>
  </si>
  <si>
    <t>烟灰缸</t>
  </si>
  <si>
    <t>tower_PoisonFrog_4</t>
  </si>
  <si>
    <t>table_equipment/tower_PoisonFrog_5</t>
  </si>
  <si>
    <t>猫砂盆</t>
  </si>
  <si>
    <t>tower_PoisonFrog_5</t>
  </si>
  <si>
    <t>table_equipment/tower_PoisonFrog_6</t>
  </si>
  <si>
    <t>肥料</t>
  </si>
  <si>
    <t>tower_PoisonFrog_6</t>
  </si>
  <si>
    <t>table_equipment/tower_Lazer_1</t>
  </si>
  <si>
    <t>台灯</t>
  </si>
  <si>
    <t>tower_Lazer_1</t>
  </si>
  <si>
    <t>table_equipment/tower_Lazer_2</t>
  </si>
  <si>
    <t>荧光灯</t>
  </si>
  <si>
    <t>tower_Lazer_2</t>
  </si>
  <si>
    <t>table_equipment/tower_Lazer_3</t>
  </si>
  <si>
    <t>迪斯科灯球</t>
  </si>
  <si>
    <t>tower_Lazer_3</t>
  </si>
  <si>
    <t>table_equipment/tower_Lazer_4</t>
  </si>
  <si>
    <t>手电筒</t>
  </si>
  <si>
    <t>tower_Lazer_4</t>
  </si>
  <si>
    <t>table_equipment/tower_Lazer_5</t>
  </si>
  <si>
    <t>荧光棒</t>
  </si>
  <si>
    <t>tower_Lazer_5</t>
  </si>
  <si>
    <t>table_equipment/tower_Lazer_6</t>
  </si>
  <si>
    <t>聚光灯</t>
  </si>
  <si>
    <t>tower_Lazer_6</t>
  </si>
  <si>
    <t>table_equipment/tower_Sword_1</t>
  </si>
  <si>
    <t>刀架</t>
  </si>
  <si>
    <t>tower_Sword_1</t>
  </si>
  <si>
    <t>table_equipment/tower_Sword_2</t>
  </si>
  <si>
    <t>钢尺</t>
  </si>
  <si>
    <t>tower_Sword_2</t>
  </si>
  <si>
    <t>table_equipment/tower_Sword_3</t>
  </si>
  <si>
    <t>缝衣针</t>
  </si>
  <si>
    <t>tower_Sword_3</t>
  </si>
  <si>
    <t>table_equipment/tower_Sword_4</t>
  </si>
  <si>
    <t>剪刀</t>
  </si>
  <si>
    <t>tower_Sword_4</t>
  </si>
  <si>
    <t>table_equipment/tower_Sword_5</t>
  </si>
  <si>
    <t>螺丝刀</t>
  </si>
  <si>
    <t>tower_Sword_5</t>
  </si>
  <si>
    <t>table_equipment/tower_Sword_6</t>
  </si>
  <si>
    <t>剃须刀</t>
  </si>
  <si>
    <t>tower_Sword_6</t>
  </si>
  <si>
    <t>table_equipment/tower_Tornado_1</t>
  </si>
  <si>
    <t>电风扇</t>
  </si>
  <si>
    <t>tower_Tornado_1</t>
  </si>
  <si>
    <t>table_equipment/tower_Tornado_2</t>
  </si>
  <si>
    <t>吸尘器</t>
  </si>
  <si>
    <t>tower_Tornado_2</t>
  </si>
  <si>
    <t>table_equipment/tower_Tornado_3</t>
  </si>
  <si>
    <t>蒲扇</t>
  </si>
  <si>
    <t>tower_Tornado_3</t>
  </si>
  <si>
    <t>table_equipment/tower_Tornado_4</t>
  </si>
  <si>
    <t>扫地机器人</t>
  </si>
  <si>
    <t>tower_Tornado_4</t>
  </si>
  <si>
    <t>table_equipment/tower_Tornado_5</t>
  </si>
  <si>
    <t>吹风机</t>
  </si>
  <si>
    <t>tower_Tornado_5</t>
  </si>
  <si>
    <t>table_equipment/tower_Tornado_6</t>
  </si>
  <si>
    <t>暖炉</t>
  </si>
  <si>
    <t>tower_Tornado_6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</si>
</sst>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tabSelected="1" workbookViewId="0">
      <selection activeCell="L5" sqref="L5:L12"/>
    </sheetView>
  </sheetViews>
  <sheetFormatPr defaultColWidth="9" defaultRowHeight="13.5"/>
  <cols>
    <col min="2" max="2" width="25.75" customWidth="1"/>
    <col min="3" max="3" width="16" customWidth="1"/>
    <col min="4" max="4" width="12.25" customWidth="1"/>
    <col min="5" max="5" width="10.375" customWidth="1"/>
    <col min="6" max="6" width="16.25" customWidth="1"/>
    <col min="7" max="7" width="16.375" customWidth="1"/>
    <col min="8" max="9" width="15.875" customWidth="1"/>
    <col min="10" max="10" width="12.125" customWidth="1"/>
    <col min="11" max="11" width="14.25" customWidth="1"/>
    <col min="12" max="12" width="21.375" customWidth="1"/>
  </cols>
  <sheetData>
    <row r="1" ht="16.5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16.5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ht="16.5" spans="1:12">
      <c r="A3" s="3" t="s">
        <v>24</v>
      </c>
      <c r="B3" s="3" t="s">
        <v>25</v>
      </c>
      <c r="C3" s="3" t="s">
        <v>25</v>
      </c>
      <c r="D3" s="3"/>
      <c r="E3" s="3" t="s">
        <v>26</v>
      </c>
      <c r="F3" s="3" t="s">
        <v>24</v>
      </c>
      <c r="G3" s="3" t="s">
        <v>24</v>
      </c>
      <c r="H3" s="3" t="s">
        <v>25</v>
      </c>
      <c r="I3" s="3" t="s">
        <v>25</v>
      </c>
      <c r="J3" s="3" t="s">
        <v>25</v>
      </c>
      <c r="K3" s="3" t="s">
        <v>24</v>
      </c>
      <c r="L3" s="3" t="s">
        <v>24</v>
      </c>
    </row>
    <row r="4" ht="16.5" spans="1:12">
      <c r="A4" s="3" t="s">
        <v>27</v>
      </c>
      <c r="B4" s="3" t="s">
        <v>27</v>
      </c>
      <c r="C4" s="3" t="s">
        <v>27</v>
      </c>
      <c r="D4" s="3"/>
      <c r="E4" s="3"/>
      <c r="F4" s="3" t="s">
        <v>27</v>
      </c>
      <c r="G4" s="3" t="s">
        <v>27</v>
      </c>
      <c r="H4" s="3" t="s">
        <v>27</v>
      </c>
      <c r="I4" s="3" t="s">
        <v>27</v>
      </c>
      <c r="J4" s="3" t="s">
        <v>27</v>
      </c>
      <c r="K4" s="3" t="s">
        <v>27</v>
      </c>
      <c r="L4" s="3" t="s">
        <v>27</v>
      </c>
    </row>
    <row r="5" ht="16.5" spans="1:12">
      <c r="A5" s="3">
        <v>101</v>
      </c>
      <c r="B5" s="3" t="s">
        <v>28</v>
      </c>
      <c r="C5" s="4" t="s">
        <v>29</v>
      </c>
      <c r="D5" s="3"/>
      <c r="E5" s="3">
        <v>30001</v>
      </c>
      <c r="F5" s="3">
        <v>0</v>
      </c>
      <c r="G5" s="3">
        <v>1500</v>
      </c>
      <c r="H5" s="3">
        <v>1</v>
      </c>
      <c r="I5" s="3">
        <v>1</v>
      </c>
      <c r="J5" s="3">
        <v>1</v>
      </c>
      <c r="K5" s="3">
        <v>40001</v>
      </c>
      <c r="L5" s="3">
        <v>600</v>
      </c>
    </row>
    <row r="6" ht="16.5" spans="1:12">
      <c r="A6" s="3">
        <v>102</v>
      </c>
      <c r="B6" s="3" t="s">
        <v>30</v>
      </c>
      <c r="C6" s="4" t="s">
        <v>31</v>
      </c>
      <c r="D6" s="3"/>
      <c r="E6" s="3">
        <v>30002</v>
      </c>
      <c r="F6" s="3">
        <v>1</v>
      </c>
      <c r="G6" s="3">
        <v>1500</v>
      </c>
      <c r="H6" s="3">
        <v>1</v>
      </c>
      <c r="I6" s="3">
        <v>1</v>
      </c>
      <c r="J6" s="3">
        <v>1</v>
      </c>
      <c r="K6" s="3">
        <v>40002</v>
      </c>
      <c r="L6" s="3">
        <v>600</v>
      </c>
    </row>
    <row r="7" ht="16.5" spans="1:12">
      <c r="A7" s="3">
        <v>103</v>
      </c>
      <c r="B7" s="3" t="s">
        <v>32</v>
      </c>
      <c r="C7" s="4" t="s">
        <v>33</v>
      </c>
      <c r="D7" s="3"/>
      <c r="E7" s="3">
        <v>30003</v>
      </c>
      <c r="F7" s="3">
        <v>2</v>
      </c>
      <c r="G7" s="3">
        <v>1500</v>
      </c>
      <c r="H7" s="3">
        <v>1</v>
      </c>
      <c r="I7" s="3">
        <v>1</v>
      </c>
      <c r="J7" s="3">
        <v>1</v>
      </c>
      <c r="K7" s="3">
        <v>40003</v>
      </c>
      <c r="L7" s="3">
        <v>600</v>
      </c>
    </row>
    <row r="8" ht="16.5" spans="1:12">
      <c r="A8" s="3">
        <v>104</v>
      </c>
      <c r="B8" s="3" t="s">
        <v>34</v>
      </c>
      <c r="C8" s="4" t="s">
        <v>35</v>
      </c>
      <c r="D8" s="3"/>
      <c r="E8" s="3">
        <v>30004</v>
      </c>
      <c r="F8" s="3">
        <v>3</v>
      </c>
      <c r="G8" s="3">
        <v>1500</v>
      </c>
      <c r="H8" s="3">
        <v>1</v>
      </c>
      <c r="I8" s="3">
        <v>1</v>
      </c>
      <c r="J8" s="3">
        <v>1</v>
      </c>
      <c r="K8" s="3">
        <v>40004</v>
      </c>
      <c r="L8" s="3">
        <v>600</v>
      </c>
    </row>
    <row r="9" ht="16.5" spans="1:12">
      <c r="A9" s="3">
        <v>105</v>
      </c>
      <c r="B9" s="3" t="s">
        <v>36</v>
      </c>
      <c r="C9" s="4" t="s">
        <v>37</v>
      </c>
      <c r="D9" s="3"/>
      <c r="E9" s="3">
        <v>30005</v>
      </c>
      <c r="F9" s="3">
        <v>4</v>
      </c>
      <c r="G9" s="3">
        <v>1500</v>
      </c>
      <c r="H9" s="3">
        <v>1</v>
      </c>
      <c r="I9" s="3">
        <v>1</v>
      </c>
      <c r="J9" s="3">
        <v>1</v>
      </c>
      <c r="K9" s="3">
        <v>40005</v>
      </c>
      <c r="L9" s="3">
        <v>600</v>
      </c>
    </row>
    <row r="10" ht="16.5" spans="1:12">
      <c r="A10" s="3">
        <v>106</v>
      </c>
      <c r="B10" s="3" t="s">
        <v>38</v>
      </c>
      <c r="C10" s="4" t="s">
        <v>39</v>
      </c>
      <c r="D10" s="3"/>
      <c r="E10" s="3">
        <v>30006</v>
      </c>
      <c r="F10" s="3">
        <v>5</v>
      </c>
      <c r="G10" s="3">
        <v>1500</v>
      </c>
      <c r="H10" s="3">
        <v>1</v>
      </c>
      <c r="I10" s="3">
        <v>1</v>
      </c>
      <c r="J10" s="3">
        <v>1</v>
      </c>
      <c r="K10" s="3">
        <v>40006</v>
      </c>
      <c r="L10" s="3">
        <v>600</v>
      </c>
    </row>
    <row r="11" ht="16.5" spans="1:12">
      <c r="A11" s="3">
        <v>107</v>
      </c>
      <c r="B11" s="3" t="s">
        <v>40</v>
      </c>
      <c r="C11" s="4" t="s">
        <v>41</v>
      </c>
      <c r="D11" s="3"/>
      <c r="E11" s="3">
        <v>30007</v>
      </c>
      <c r="F11" s="3">
        <v>6</v>
      </c>
      <c r="G11" s="3">
        <v>1500</v>
      </c>
      <c r="H11" s="3">
        <v>1</v>
      </c>
      <c r="I11" s="3">
        <v>1</v>
      </c>
      <c r="J11" s="3">
        <v>1</v>
      </c>
      <c r="K11" s="3">
        <v>40007</v>
      </c>
      <c r="L11" s="3">
        <v>600</v>
      </c>
    </row>
    <row r="12" ht="16.5" spans="1:12">
      <c r="A12" s="5">
        <v>108</v>
      </c>
      <c r="B12" s="3" t="s">
        <v>42</v>
      </c>
      <c r="C12" s="4" t="s">
        <v>43</v>
      </c>
      <c r="D12" s="3"/>
      <c r="E12" s="3">
        <v>30008</v>
      </c>
      <c r="F12" s="3">
        <v>7</v>
      </c>
      <c r="G12" s="3">
        <v>1500</v>
      </c>
      <c r="H12" s="3">
        <v>1</v>
      </c>
      <c r="I12" s="3">
        <v>1</v>
      </c>
      <c r="J12" s="3">
        <v>1</v>
      </c>
      <c r="K12" s="3">
        <v>40008</v>
      </c>
      <c r="L12" s="3">
        <v>600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6"/>
  <sheetViews>
    <sheetView topLeftCell="A61" workbookViewId="0">
      <selection activeCell="R76" sqref="R76"/>
    </sheetView>
  </sheetViews>
  <sheetFormatPr defaultColWidth="9" defaultRowHeight="13.5"/>
  <sheetData>
    <row r="1" ht="16.5" spans="1:14">
      <c r="A1" s="1" t="s">
        <v>0</v>
      </c>
      <c r="B1" s="1" t="s">
        <v>44</v>
      </c>
      <c r="C1" s="1" t="s">
        <v>2</v>
      </c>
      <c r="D1" s="1" t="s">
        <v>3</v>
      </c>
      <c r="E1" s="1" t="s">
        <v>1</v>
      </c>
      <c r="F1" s="1" t="s">
        <v>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</row>
    <row r="2" ht="16.5" spans="1:14">
      <c r="A2" s="1" t="s">
        <v>12</v>
      </c>
      <c r="B2" s="1" t="s">
        <v>53</v>
      </c>
      <c r="C2" s="1" t="s">
        <v>54</v>
      </c>
      <c r="D2" s="1" t="s">
        <v>15</v>
      </c>
      <c r="E2" s="1" t="s">
        <v>13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62</v>
      </c>
      <c r="N2" s="1" t="s">
        <v>63</v>
      </c>
    </row>
    <row r="3" ht="16.5" spans="1:14">
      <c r="A3" s="1" t="s">
        <v>24</v>
      </c>
      <c r="B3" s="1" t="s">
        <v>24</v>
      </c>
      <c r="C3" s="1" t="s">
        <v>25</v>
      </c>
      <c r="D3" s="1"/>
      <c r="E3" s="1" t="s">
        <v>25</v>
      </c>
      <c r="F3" s="1" t="s">
        <v>24</v>
      </c>
      <c r="G3" s="1" t="s">
        <v>64</v>
      </c>
      <c r="H3" s="1" t="s">
        <v>24</v>
      </c>
      <c r="I3" s="1" t="s">
        <v>24</v>
      </c>
      <c r="J3" s="1" t="s">
        <v>26</v>
      </c>
      <c r="K3" s="1" t="s">
        <v>26</v>
      </c>
      <c r="L3" s="1" t="s">
        <v>65</v>
      </c>
      <c r="M3" s="1" t="s">
        <v>65</v>
      </c>
      <c r="N3" s="1" t="s">
        <v>24</v>
      </c>
    </row>
    <row r="4" ht="16.5" spans="1:14">
      <c r="A4" s="1" t="s">
        <v>66</v>
      </c>
      <c r="B4" s="1" t="s">
        <v>27</v>
      </c>
      <c r="C4" s="1" t="s">
        <v>27</v>
      </c>
      <c r="D4" s="1"/>
      <c r="E4" s="1" t="s">
        <v>27</v>
      </c>
      <c r="F4" s="1" t="s">
        <v>27</v>
      </c>
      <c r="G4" s="1" t="s">
        <v>27</v>
      </c>
      <c r="H4" s="1" t="s">
        <v>27</v>
      </c>
      <c r="I4" s="1" t="s">
        <v>27</v>
      </c>
      <c r="J4" s="1"/>
      <c r="K4" s="1" t="s">
        <v>67</v>
      </c>
      <c r="L4" s="1" t="s">
        <v>27</v>
      </c>
      <c r="M4" s="1" t="s">
        <v>27</v>
      </c>
      <c r="N4" s="1" t="s">
        <v>27</v>
      </c>
    </row>
    <row r="5" ht="16.5" spans="1:14">
      <c r="A5" s="1">
        <v>91001</v>
      </c>
      <c r="B5" s="2">
        <v>0</v>
      </c>
      <c r="C5" s="1" t="s">
        <v>68</v>
      </c>
      <c r="D5" s="1" t="s">
        <v>69</v>
      </c>
      <c r="E5" s="1" t="s">
        <v>70</v>
      </c>
      <c r="F5" s="1">
        <v>0</v>
      </c>
      <c r="G5" s="1" t="s">
        <v>71</v>
      </c>
      <c r="H5" s="1">
        <v>0</v>
      </c>
      <c r="I5" s="1">
        <v>0</v>
      </c>
      <c r="J5" s="1" t="s">
        <v>72</v>
      </c>
      <c r="K5" s="1" t="s">
        <v>73</v>
      </c>
      <c r="L5" s="1">
        <v>35</v>
      </c>
      <c r="M5" s="1">
        <v>1</v>
      </c>
      <c r="N5" s="1">
        <v>1001</v>
      </c>
    </row>
    <row r="6" ht="16.5" spans="1:14">
      <c r="A6" s="1">
        <v>91002</v>
      </c>
      <c r="B6" s="1">
        <v>1</v>
      </c>
      <c r="C6" s="1" t="s">
        <v>68</v>
      </c>
      <c r="D6" s="1" t="s">
        <v>69</v>
      </c>
      <c r="E6" s="1" t="s">
        <v>70</v>
      </c>
      <c r="F6" s="1">
        <v>0</v>
      </c>
      <c r="G6" s="1" t="s">
        <v>74</v>
      </c>
      <c r="H6" s="1">
        <v>3000</v>
      </c>
      <c r="I6" s="1">
        <v>0</v>
      </c>
      <c r="J6" s="1" t="s">
        <v>75</v>
      </c>
      <c r="K6" s="1" t="s">
        <v>73</v>
      </c>
      <c r="L6" s="1">
        <v>52</v>
      </c>
      <c r="M6" s="1">
        <v>1</v>
      </c>
      <c r="N6" s="1">
        <v>1002</v>
      </c>
    </row>
    <row r="7" ht="16.5" spans="1:14">
      <c r="A7" s="1">
        <v>91003</v>
      </c>
      <c r="B7" s="1">
        <v>2</v>
      </c>
      <c r="C7" s="1" t="s">
        <v>68</v>
      </c>
      <c r="D7" s="1" t="s">
        <v>69</v>
      </c>
      <c r="E7" s="1" t="s">
        <v>70</v>
      </c>
      <c r="F7" s="1">
        <v>0</v>
      </c>
      <c r="G7" s="1" t="s">
        <v>76</v>
      </c>
      <c r="H7" s="1">
        <v>6000</v>
      </c>
      <c r="I7" s="1">
        <v>0</v>
      </c>
      <c r="J7" s="1" t="s">
        <v>77</v>
      </c>
      <c r="K7" s="1" t="s">
        <v>73</v>
      </c>
      <c r="L7" s="1">
        <v>78</v>
      </c>
      <c r="M7" s="1">
        <v>1</v>
      </c>
      <c r="N7" s="1">
        <v>1003</v>
      </c>
    </row>
    <row r="8" ht="16.5" spans="1:14">
      <c r="A8" s="1">
        <v>91004</v>
      </c>
      <c r="B8" s="1">
        <v>3</v>
      </c>
      <c r="C8" s="1" t="s">
        <v>68</v>
      </c>
      <c r="D8" s="1" t="s">
        <v>69</v>
      </c>
      <c r="E8" s="1" t="s">
        <v>70</v>
      </c>
      <c r="F8" s="1">
        <v>0</v>
      </c>
      <c r="G8" s="1" t="s">
        <v>78</v>
      </c>
      <c r="H8" s="1">
        <v>10000</v>
      </c>
      <c r="I8" s="1">
        <v>2000</v>
      </c>
      <c r="J8" s="1" t="s">
        <v>79</v>
      </c>
      <c r="K8" s="1" t="s">
        <v>73</v>
      </c>
      <c r="L8" s="1">
        <v>117</v>
      </c>
      <c r="M8" s="1">
        <v>1</v>
      </c>
      <c r="N8" s="1">
        <v>1004</v>
      </c>
    </row>
    <row r="9" ht="16.5" spans="1:14">
      <c r="A9" s="1">
        <v>91005</v>
      </c>
      <c r="B9" s="2">
        <v>1</v>
      </c>
      <c r="C9" s="1" t="s">
        <v>80</v>
      </c>
      <c r="D9" s="1" t="s">
        <v>81</v>
      </c>
      <c r="E9" s="1" t="s">
        <v>82</v>
      </c>
      <c r="F9" s="1">
        <v>0</v>
      </c>
      <c r="G9" s="1" t="s">
        <v>74</v>
      </c>
      <c r="H9" s="1">
        <v>6000</v>
      </c>
      <c r="I9" s="1">
        <v>0</v>
      </c>
      <c r="J9" s="1" t="s">
        <v>75</v>
      </c>
      <c r="K9" s="1" t="s">
        <v>73</v>
      </c>
      <c r="L9" s="1">
        <v>175</v>
      </c>
      <c r="M9" s="1">
        <v>1</v>
      </c>
      <c r="N9" s="1">
        <v>1005</v>
      </c>
    </row>
    <row r="10" ht="16.5" spans="1:14">
      <c r="A10" s="1">
        <v>91006</v>
      </c>
      <c r="B10" s="1">
        <v>2</v>
      </c>
      <c r="C10" s="1" t="s">
        <v>80</v>
      </c>
      <c r="D10" s="1" t="s">
        <v>81</v>
      </c>
      <c r="E10" s="1" t="s">
        <v>82</v>
      </c>
      <c r="F10" s="1">
        <v>0</v>
      </c>
      <c r="G10" s="1" t="s">
        <v>76</v>
      </c>
      <c r="H10" s="1">
        <v>10000</v>
      </c>
      <c r="I10" s="1">
        <v>2000</v>
      </c>
      <c r="J10" s="1" t="s">
        <v>77</v>
      </c>
      <c r="K10" s="1" t="s">
        <v>73</v>
      </c>
      <c r="L10" s="1">
        <v>262</v>
      </c>
      <c r="M10" s="1">
        <v>1</v>
      </c>
      <c r="N10" s="1">
        <v>1006</v>
      </c>
    </row>
    <row r="11" ht="16.5" spans="1:14">
      <c r="A11" s="1">
        <v>91007</v>
      </c>
      <c r="B11" s="1">
        <v>3</v>
      </c>
      <c r="C11" s="1" t="s">
        <v>80</v>
      </c>
      <c r="D11" s="1" t="s">
        <v>81</v>
      </c>
      <c r="E11" s="1" t="s">
        <v>82</v>
      </c>
      <c r="F11" s="1">
        <v>0</v>
      </c>
      <c r="G11" s="1" t="s">
        <v>78</v>
      </c>
      <c r="H11" s="1">
        <v>10000</v>
      </c>
      <c r="I11" s="1">
        <v>5000</v>
      </c>
      <c r="J11" s="1" t="s">
        <v>79</v>
      </c>
      <c r="K11" s="1" t="s">
        <v>73</v>
      </c>
      <c r="L11" s="1">
        <v>393</v>
      </c>
      <c r="M11" s="1">
        <v>1</v>
      </c>
      <c r="N11" s="1">
        <v>1007</v>
      </c>
    </row>
    <row r="12" ht="16.5" spans="1:14">
      <c r="A12" s="1">
        <v>91008</v>
      </c>
      <c r="B12" s="1">
        <v>4</v>
      </c>
      <c r="C12" s="1" t="s">
        <v>80</v>
      </c>
      <c r="D12" s="1" t="s">
        <v>81</v>
      </c>
      <c r="E12" s="1" t="s">
        <v>82</v>
      </c>
      <c r="F12" s="1">
        <v>0</v>
      </c>
      <c r="G12" s="1" t="s">
        <v>83</v>
      </c>
      <c r="H12" s="1">
        <v>10000</v>
      </c>
      <c r="I12" s="1">
        <v>10000</v>
      </c>
      <c r="J12" s="1" t="s">
        <v>84</v>
      </c>
      <c r="K12" s="1" t="s">
        <v>73</v>
      </c>
      <c r="L12" s="1">
        <v>589</v>
      </c>
      <c r="M12" s="1">
        <v>1</v>
      </c>
      <c r="N12" s="1">
        <v>1008</v>
      </c>
    </row>
    <row r="13" ht="16.5" spans="1:14">
      <c r="A13" s="1">
        <v>91009</v>
      </c>
      <c r="B13" s="2">
        <v>2</v>
      </c>
      <c r="C13" s="1" t="s">
        <v>85</v>
      </c>
      <c r="D13" s="1" t="s">
        <v>86</v>
      </c>
      <c r="E13" s="1" t="s">
        <v>87</v>
      </c>
      <c r="F13" s="1">
        <v>0</v>
      </c>
      <c r="G13" s="1" t="s">
        <v>76</v>
      </c>
      <c r="H13" s="1">
        <v>10000</v>
      </c>
      <c r="I13" s="1">
        <v>2000</v>
      </c>
      <c r="J13" s="1" t="s">
        <v>77</v>
      </c>
      <c r="K13" s="1" t="s">
        <v>73</v>
      </c>
      <c r="L13" s="1">
        <v>883</v>
      </c>
      <c r="M13" s="1">
        <v>1</v>
      </c>
      <c r="N13" s="1">
        <v>1009</v>
      </c>
    </row>
    <row r="14" ht="16.5" spans="1:14">
      <c r="A14" s="1">
        <v>91010</v>
      </c>
      <c r="B14" s="1">
        <v>3</v>
      </c>
      <c r="C14" s="1" t="s">
        <v>85</v>
      </c>
      <c r="D14" s="1" t="s">
        <v>86</v>
      </c>
      <c r="E14" s="1" t="s">
        <v>87</v>
      </c>
      <c r="F14" s="1">
        <v>0</v>
      </c>
      <c r="G14" s="1" t="s">
        <v>78</v>
      </c>
      <c r="H14" s="1">
        <v>10000</v>
      </c>
      <c r="I14" s="1">
        <v>5000</v>
      </c>
      <c r="J14" s="1" t="s">
        <v>79</v>
      </c>
      <c r="K14" s="1" t="s">
        <v>73</v>
      </c>
      <c r="L14" s="1">
        <v>1324</v>
      </c>
      <c r="M14" s="1">
        <v>1</v>
      </c>
      <c r="N14" s="1">
        <v>1010</v>
      </c>
    </row>
    <row r="15" ht="16.5" spans="1:14">
      <c r="A15" s="1">
        <v>91011</v>
      </c>
      <c r="B15" s="1">
        <v>4</v>
      </c>
      <c r="C15" s="1" t="s">
        <v>85</v>
      </c>
      <c r="D15" s="1" t="s">
        <v>86</v>
      </c>
      <c r="E15" s="1" t="s">
        <v>87</v>
      </c>
      <c r="F15" s="1">
        <v>0</v>
      </c>
      <c r="G15" s="1" t="s">
        <v>83</v>
      </c>
      <c r="H15" s="1">
        <v>10000</v>
      </c>
      <c r="I15" s="1">
        <v>10000</v>
      </c>
      <c r="J15" s="1" t="s">
        <v>84</v>
      </c>
      <c r="K15" s="1" t="s">
        <v>73</v>
      </c>
      <c r="L15" s="1">
        <v>1986</v>
      </c>
      <c r="M15" s="1">
        <v>1</v>
      </c>
      <c r="N15" s="1">
        <v>1011</v>
      </c>
    </row>
    <row r="16" ht="16.5" spans="1:14">
      <c r="A16" s="1">
        <v>91012</v>
      </c>
      <c r="B16" s="1">
        <v>5</v>
      </c>
      <c r="C16" s="1" t="s">
        <v>85</v>
      </c>
      <c r="D16" s="1" t="s">
        <v>86</v>
      </c>
      <c r="E16" s="1" t="s">
        <v>87</v>
      </c>
      <c r="F16" s="1">
        <v>0</v>
      </c>
      <c r="G16" s="1" t="s">
        <v>88</v>
      </c>
      <c r="H16" s="1">
        <v>10000</v>
      </c>
      <c r="I16" s="1">
        <v>10000</v>
      </c>
      <c r="J16" s="1" t="s">
        <v>89</v>
      </c>
      <c r="K16" s="1" t="s">
        <v>73</v>
      </c>
      <c r="L16" s="1">
        <v>2979</v>
      </c>
      <c r="M16" s="1">
        <v>1</v>
      </c>
      <c r="N16" s="1">
        <v>1012</v>
      </c>
    </row>
    <row r="17" ht="16.5" spans="1:14">
      <c r="A17" s="1">
        <v>91013</v>
      </c>
      <c r="B17" s="2">
        <v>3</v>
      </c>
      <c r="C17" s="1" t="s">
        <v>90</v>
      </c>
      <c r="D17" s="1" t="s">
        <v>91</v>
      </c>
      <c r="E17" s="1" t="s">
        <v>92</v>
      </c>
      <c r="F17" s="1">
        <v>0</v>
      </c>
      <c r="G17" s="1" t="s">
        <v>78</v>
      </c>
      <c r="H17" s="1">
        <v>10000</v>
      </c>
      <c r="I17" s="1">
        <v>5000</v>
      </c>
      <c r="J17" s="1" t="s">
        <v>79</v>
      </c>
      <c r="K17" s="1" t="s">
        <v>73</v>
      </c>
      <c r="L17" s="1">
        <v>35</v>
      </c>
      <c r="M17" s="1">
        <v>1</v>
      </c>
      <c r="N17" s="1">
        <v>1013</v>
      </c>
    </row>
    <row r="18" ht="16.5" spans="1:14">
      <c r="A18" s="1">
        <v>91014</v>
      </c>
      <c r="B18" s="1">
        <v>4</v>
      </c>
      <c r="C18" s="1" t="s">
        <v>90</v>
      </c>
      <c r="D18" s="1" t="s">
        <v>91</v>
      </c>
      <c r="E18" s="1" t="s">
        <v>92</v>
      </c>
      <c r="F18" s="1">
        <v>0</v>
      </c>
      <c r="G18" s="1" t="s">
        <v>83</v>
      </c>
      <c r="H18" s="1">
        <v>10000</v>
      </c>
      <c r="I18" s="1">
        <v>10000</v>
      </c>
      <c r="J18" s="1" t="s">
        <v>84</v>
      </c>
      <c r="K18" s="1" t="s">
        <v>73</v>
      </c>
      <c r="L18" s="1">
        <v>52</v>
      </c>
      <c r="M18" s="1">
        <v>1</v>
      </c>
      <c r="N18" s="1">
        <v>1014</v>
      </c>
    </row>
    <row r="19" ht="16.5" spans="1:14">
      <c r="A19" s="1">
        <v>91015</v>
      </c>
      <c r="B19" s="1">
        <v>5</v>
      </c>
      <c r="C19" s="1" t="s">
        <v>90</v>
      </c>
      <c r="D19" s="1" t="s">
        <v>91</v>
      </c>
      <c r="E19" s="1" t="s">
        <v>92</v>
      </c>
      <c r="F19" s="1">
        <v>0</v>
      </c>
      <c r="G19" s="1" t="s">
        <v>88</v>
      </c>
      <c r="H19" s="1">
        <v>10000</v>
      </c>
      <c r="I19" s="1">
        <v>10000</v>
      </c>
      <c r="J19" s="1" t="s">
        <v>89</v>
      </c>
      <c r="K19" s="1" t="s">
        <v>73</v>
      </c>
      <c r="L19" s="1">
        <v>78</v>
      </c>
      <c r="M19" s="1">
        <v>1</v>
      </c>
      <c r="N19" s="1">
        <v>1015</v>
      </c>
    </row>
    <row r="20" ht="16.5" spans="1:14">
      <c r="A20" s="1">
        <v>91016</v>
      </c>
      <c r="B20" s="1">
        <v>6</v>
      </c>
      <c r="C20" s="1" t="s">
        <v>90</v>
      </c>
      <c r="D20" s="1" t="s">
        <v>91</v>
      </c>
      <c r="E20" s="1" t="s">
        <v>92</v>
      </c>
      <c r="F20" s="1">
        <v>0</v>
      </c>
      <c r="G20" s="1" t="s">
        <v>93</v>
      </c>
      <c r="H20" s="1">
        <v>10000</v>
      </c>
      <c r="I20" s="1">
        <v>10000</v>
      </c>
      <c r="J20" s="1" t="s">
        <v>94</v>
      </c>
      <c r="K20" s="1" t="s">
        <v>73</v>
      </c>
      <c r="L20" s="1">
        <v>117</v>
      </c>
      <c r="M20" s="1">
        <v>1</v>
      </c>
      <c r="N20" s="1">
        <v>1016</v>
      </c>
    </row>
    <row r="21" ht="16.5" spans="1:14">
      <c r="A21" s="1">
        <v>91017</v>
      </c>
      <c r="B21" s="2">
        <v>4</v>
      </c>
      <c r="C21" s="1" t="s">
        <v>95</v>
      </c>
      <c r="D21" s="1" t="s">
        <v>96</v>
      </c>
      <c r="E21" s="1" t="s">
        <v>97</v>
      </c>
      <c r="F21" s="1">
        <v>0</v>
      </c>
      <c r="G21" s="1" t="s">
        <v>83</v>
      </c>
      <c r="H21" s="1">
        <v>10000</v>
      </c>
      <c r="I21" s="1">
        <v>10000</v>
      </c>
      <c r="J21" s="1" t="s">
        <v>84</v>
      </c>
      <c r="K21" s="1" t="s">
        <v>73</v>
      </c>
      <c r="L21" s="1">
        <v>175</v>
      </c>
      <c r="M21" s="1">
        <v>1</v>
      </c>
      <c r="N21" s="1">
        <v>1017</v>
      </c>
    </row>
    <row r="22" ht="16.5" spans="1:14">
      <c r="A22" s="1">
        <v>91018</v>
      </c>
      <c r="B22" s="1">
        <v>5</v>
      </c>
      <c r="C22" s="1" t="s">
        <v>95</v>
      </c>
      <c r="D22" s="1" t="s">
        <v>96</v>
      </c>
      <c r="E22" s="1" t="s">
        <v>97</v>
      </c>
      <c r="F22" s="1">
        <v>0</v>
      </c>
      <c r="G22" s="1" t="s">
        <v>88</v>
      </c>
      <c r="H22" s="1">
        <v>10000</v>
      </c>
      <c r="I22" s="1">
        <v>10000</v>
      </c>
      <c r="J22" s="1" t="s">
        <v>89</v>
      </c>
      <c r="K22" s="1" t="s">
        <v>73</v>
      </c>
      <c r="L22" s="1">
        <v>262</v>
      </c>
      <c r="M22" s="1">
        <v>1</v>
      </c>
      <c r="N22" s="1">
        <v>1018</v>
      </c>
    </row>
    <row r="23" ht="16.5" spans="1:14">
      <c r="A23" s="1">
        <v>91019</v>
      </c>
      <c r="B23" s="1">
        <v>6</v>
      </c>
      <c r="C23" s="1" t="s">
        <v>95</v>
      </c>
      <c r="D23" s="1" t="s">
        <v>96</v>
      </c>
      <c r="E23" s="1" t="s">
        <v>97</v>
      </c>
      <c r="F23" s="1">
        <v>0</v>
      </c>
      <c r="G23" s="1" t="s">
        <v>93</v>
      </c>
      <c r="H23" s="1">
        <v>10000</v>
      </c>
      <c r="I23" s="1">
        <v>10000</v>
      </c>
      <c r="J23" s="1" t="s">
        <v>94</v>
      </c>
      <c r="K23" s="1" t="s">
        <v>73</v>
      </c>
      <c r="L23" s="1">
        <v>393</v>
      </c>
      <c r="M23" s="1">
        <v>1</v>
      </c>
      <c r="N23" s="1">
        <v>1019</v>
      </c>
    </row>
    <row r="24" ht="16.5" spans="1:14">
      <c r="A24" s="1">
        <v>91020</v>
      </c>
      <c r="B24" s="1">
        <v>7</v>
      </c>
      <c r="C24" s="1" t="s">
        <v>95</v>
      </c>
      <c r="D24" s="1" t="s">
        <v>96</v>
      </c>
      <c r="E24" s="1" t="s">
        <v>97</v>
      </c>
      <c r="F24" s="1">
        <v>0</v>
      </c>
      <c r="G24" s="1" t="s">
        <v>98</v>
      </c>
      <c r="H24" s="1">
        <v>10000</v>
      </c>
      <c r="I24" s="1">
        <v>10000</v>
      </c>
      <c r="J24" s="1" t="s">
        <v>99</v>
      </c>
      <c r="K24" s="1" t="s">
        <v>73</v>
      </c>
      <c r="L24" s="1">
        <v>589</v>
      </c>
      <c r="M24" s="1">
        <v>1</v>
      </c>
      <c r="N24" s="1">
        <v>1020</v>
      </c>
    </row>
    <row r="25" ht="16.5" spans="1:14">
      <c r="A25" s="1">
        <v>91021</v>
      </c>
      <c r="B25" s="2">
        <v>5</v>
      </c>
      <c r="C25" s="1" t="s">
        <v>100</v>
      </c>
      <c r="D25" s="1" t="s">
        <v>101</v>
      </c>
      <c r="E25" s="1" t="s">
        <v>102</v>
      </c>
      <c r="F25" s="1">
        <v>0</v>
      </c>
      <c r="G25" s="1" t="s">
        <v>88</v>
      </c>
      <c r="H25" s="1">
        <v>10000</v>
      </c>
      <c r="I25" s="1">
        <v>10000</v>
      </c>
      <c r="J25" s="1" t="s">
        <v>89</v>
      </c>
      <c r="K25" s="1" t="s">
        <v>73</v>
      </c>
      <c r="L25" s="1">
        <v>883</v>
      </c>
      <c r="M25" s="1">
        <v>1</v>
      </c>
      <c r="N25" s="1">
        <v>1021</v>
      </c>
    </row>
    <row r="26" ht="16.5" spans="1:14">
      <c r="A26" s="1">
        <v>91022</v>
      </c>
      <c r="B26" s="1">
        <v>6</v>
      </c>
      <c r="C26" s="1" t="s">
        <v>100</v>
      </c>
      <c r="D26" s="1" t="s">
        <v>101</v>
      </c>
      <c r="E26" s="1" t="s">
        <v>102</v>
      </c>
      <c r="F26" s="1">
        <v>0</v>
      </c>
      <c r="G26" s="1" t="s">
        <v>93</v>
      </c>
      <c r="H26" s="1">
        <v>10000</v>
      </c>
      <c r="I26" s="1">
        <v>10000</v>
      </c>
      <c r="J26" s="1" t="s">
        <v>94</v>
      </c>
      <c r="K26" s="1" t="s">
        <v>73</v>
      </c>
      <c r="L26" s="1">
        <v>1324</v>
      </c>
      <c r="M26" s="1">
        <v>1</v>
      </c>
      <c r="N26" s="1">
        <v>1022</v>
      </c>
    </row>
    <row r="27" ht="16.5" spans="1:14">
      <c r="A27" s="1">
        <v>91023</v>
      </c>
      <c r="B27" s="1">
        <v>7</v>
      </c>
      <c r="C27" s="1" t="s">
        <v>100</v>
      </c>
      <c r="D27" s="1" t="s">
        <v>101</v>
      </c>
      <c r="E27" s="1" t="s">
        <v>102</v>
      </c>
      <c r="F27" s="1">
        <v>0</v>
      </c>
      <c r="G27" s="1" t="s">
        <v>98</v>
      </c>
      <c r="H27" s="1">
        <v>10000</v>
      </c>
      <c r="I27" s="1">
        <v>10000</v>
      </c>
      <c r="J27" s="1" t="s">
        <v>99</v>
      </c>
      <c r="K27" s="1" t="s">
        <v>73</v>
      </c>
      <c r="L27" s="1">
        <v>1986</v>
      </c>
      <c r="M27" s="1">
        <v>1</v>
      </c>
      <c r="N27" s="1">
        <v>1023</v>
      </c>
    </row>
    <row r="28" ht="16.5" spans="1:14">
      <c r="A28" s="1">
        <v>91024</v>
      </c>
      <c r="B28" s="1">
        <v>8</v>
      </c>
      <c r="C28" s="1" t="s">
        <v>100</v>
      </c>
      <c r="D28" s="1" t="s">
        <v>101</v>
      </c>
      <c r="E28" s="1" t="s">
        <v>102</v>
      </c>
      <c r="F28" s="1">
        <v>0</v>
      </c>
      <c r="G28" s="1" t="s">
        <v>103</v>
      </c>
      <c r="H28" s="1">
        <v>10000</v>
      </c>
      <c r="I28" s="1">
        <v>10000</v>
      </c>
      <c r="J28" s="1" t="s">
        <v>104</v>
      </c>
      <c r="K28" s="1" t="s">
        <v>73</v>
      </c>
      <c r="L28" s="1">
        <v>2979</v>
      </c>
      <c r="M28" s="1">
        <v>1</v>
      </c>
      <c r="N28" s="1">
        <v>1024</v>
      </c>
    </row>
    <row r="29" ht="16.5" spans="1:14">
      <c r="A29" s="1">
        <f t="shared" ref="A29:A92" si="0">A5+100</f>
        <v>91101</v>
      </c>
      <c r="B29" s="2">
        <v>0</v>
      </c>
      <c r="C29" s="1" t="s">
        <v>105</v>
      </c>
      <c r="D29" s="1" t="s">
        <v>106</v>
      </c>
      <c r="E29" s="1" t="s">
        <v>107</v>
      </c>
      <c r="F29" s="1">
        <f t="shared" ref="F29:F92" si="1">F5+1</f>
        <v>1</v>
      </c>
      <c r="G29" s="1" t="s">
        <v>71</v>
      </c>
      <c r="H29" s="1">
        <v>0</v>
      </c>
      <c r="I29" s="1">
        <v>0</v>
      </c>
      <c r="J29" s="1" t="s">
        <v>72</v>
      </c>
      <c r="K29" s="1" t="s">
        <v>73</v>
      </c>
      <c r="L29" s="1">
        <v>35</v>
      </c>
      <c r="M29" s="1">
        <v>1</v>
      </c>
      <c r="N29" s="1">
        <f t="shared" ref="N29:N92" si="2">N5+1000</f>
        <v>2001</v>
      </c>
    </row>
    <row r="30" ht="16.5" spans="1:14">
      <c r="A30" s="1">
        <f t="shared" si="0"/>
        <v>91102</v>
      </c>
      <c r="B30" s="1">
        <v>1</v>
      </c>
      <c r="C30" s="1" t="s">
        <v>105</v>
      </c>
      <c r="D30" s="1" t="s">
        <v>106</v>
      </c>
      <c r="E30" s="1" t="s">
        <v>107</v>
      </c>
      <c r="F30" s="1">
        <f t="shared" si="1"/>
        <v>1</v>
      </c>
      <c r="G30" s="1" t="s">
        <v>74</v>
      </c>
      <c r="H30" s="1">
        <v>3000</v>
      </c>
      <c r="I30" s="1">
        <v>0</v>
      </c>
      <c r="J30" s="1" t="s">
        <v>75</v>
      </c>
      <c r="K30" s="1" t="s">
        <v>73</v>
      </c>
      <c r="L30" s="1">
        <v>52</v>
      </c>
      <c r="M30" s="1">
        <v>1</v>
      </c>
      <c r="N30" s="1">
        <f t="shared" si="2"/>
        <v>2002</v>
      </c>
    </row>
    <row r="31" ht="16.5" spans="1:14">
      <c r="A31" s="1">
        <f t="shared" si="0"/>
        <v>91103</v>
      </c>
      <c r="B31" s="1">
        <v>2</v>
      </c>
      <c r="C31" s="1" t="s">
        <v>105</v>
      </c>
      <c r="D31" s="1" t="s">
        <v>106</v>
      </c>
      <c r="E31" s="1" t="s">
        <v>107</v>
      </c>
      <c r="F31" s="1">
        <f t="shared" si="1"/>
        <v>1</v>
      </c>
      <c r="G31" s="1" t="s">
        <v>76</v>
      </c>
      <c r="H31" s="1">
        <v>6000</v>
      </c>
      <c r="I31" s="1">
        <v>0</v>
      </c>
      <c r="J31" s="1" t="s">
        <v>77</v>
      </c>
      <c r="K31" s="1" t="s">
        <v>73</v>
      </c>
      <c r="L31" s="1">
        <v>78</v>
      </c>
      <c r="M31" s="1">
        <v>1</v>
      </c>
      <c r="N31" s="1">
        <f t="shared" si="2"/>
        <v>2003</v>
      </c>
    </row>
    <row r="32" ht="16.5" spans="1:14">
      <c r="A32" s="1">
        <f t="shared" si="0"/>
        <v>91104</v>
      </c>
      <c r="B32" s="1">
        <v>3</v>
      </c>
      <c r="C32" s="1" t="s">
        <v>105</v>
      </c>
      <c r="D32" s="1" t="s">
        <v>106</v>
      </c>
      <c r="E32" s="1" t="s">
        <v>107</v>
      </c>
      <c r="F32" s="1">
        <f t="shared" si="1"/>
        <v>1</v>
      </c>
      <c r="G32" s="1" t="s">
        <v>78</v>
      </c>
      <c r="H32" s="1">
        <v>10000</v>
      </c>
      <c r="I32" s="1">
        <v>2000</v>
      </c>
      <c r="J32" s="1" t="s">
        <v>79</v>
      </c>
      <c r="K32" s="1" t="s">
        <v>73</v>
      </c>
      <c r="L32" s="1">
        <v>117</v>
      </c>
      <c r="M32" s="1">
        <v>1</v>
      </c>
      <c r="N32" s="1">
        <f t="shared" si="2"/>
        <v>2004</v>
      </c>
    </row>
    <row r="33" ht="16.5" spans="1:14">
      <c r="A33" s="1">
        <f t="shared" si="0"/>
        <v>91105</v>
      </c>
      <c r="B33" s="2">
        <v>1</v>
      </c>
      <c r="C33" s="1" t="s">
        <v>108</v>
      </c>
      <c r="D33" s="1" t="s">
        <v>109</v>
      </c>
      <c r="E33" s="1" t="s">
        <v>110</v>
      </c>
      <c r="F33" s="1">
        <f t="shared" si="1"/>
        <v>1</v>
      </c>
      <c r="G33" s="1" t="s">
        <v>74</v>
      </c>
      <c r="H33" s="1">
        <v>6000</v>
      </c>
      <c r="I33" s="1">
        <v>0</v>
      </c>
      <c r="J33" s="1" t="s">
        <v>75</v>
      </c>
      <c r="K33" s="1" t="s">
        <v>73</v>
      </c>
      <c r="L33" s="1">
        <v>175</v>
      </c>
      <c r="M33" s="1">
        <v>1</v>
      </c>
      <c r="N33" s="1">
        <f t="shared" si="2"/>
        <v>2005</v>
      </c>
    </row>
    <row r="34" ht="16.5" spans="1:14">
      <c r="A34" s="1">
        <f t="shared" si="0"/>
        <v>91106</v>
      </c>
      <c r="B34" s="1">
        <v>2</v>
      </c>
      <c r="C34" s="1" t="s">
        <v>108</v>
      </c>
      <c r="D34" s="1" t="s">
        <v>109</v>
      </c>
      <c r="E34" s="1" t="s">
        <v>110</v>
      </c>
      <c r="F34" s="1">
        <f t="shared" si="1"/>
        <v>1</v>
      </c>
      <c r="G34" s="1" t="s">
        <v>76</v>
      </c>
      <c r="H34" s="1">
        <v>10000</v>
      </c>
      <c r="I34" s="1">
        <v>2000</v>
      </c>
      <c r="J34" s="1" t="s">
        <v>77</v>
      </c>
      <c r="K34" s="1" t="s">
        <v>73</v>
      </c>
      <c r="L34" s="1">
        <v>262</v>
      </c>
      <c r="M34" s="1">
        <v>1</v>
      </c>
      <c r="N34" s="1">
        <f t="shared" si="2"/>
        <v>2006</v>
      </c>
    </row>
    <row r="35" ht="16.5" spans="1:14">
      <c r="A35" s="1">
        <f t="shared" si="0"/>
        <v>91107</v>
      </c>
      <c r="B35" s="1">
        <v>3</v>
      </c>
      <c r="C35" s="1" t="s">
        <v>108</v>
      </c>
      <c r="D35" s="1" t="s">
        <v>109</v>
      </c>
      <c r="E35" s="1" t="s">
        <v>110</v>
      </c>
      <c r="F35" s="1">
        <f t="shared" si="1"/>
        <v>1</v>
      </c>
      <c r="G35" s="1" t="s">
        <v>78</v>
      </c>
      <c r="H35" s="1">
        <v>10000</v>
      </c>
      <c r="I35" s="1">
        <v>5000</v>
      </c>
      <c r="J35" s="1" t="s">
        <v>79</v>
      </c>
      <c r="K35" s="1" t="s">
        <v>73</v>
      </c>
      <c r="L35" s="1">
        <v>393</v>
      </c>
      <c r="M35" s="1">
        <v>1</v>
      </c>
      <c r="N35" s="1">
        <f t="shared" si="2"/>
        <v>2007</v>
      </c>
    </row>
    <row r="36" ht="16.5" spans="1:14">
      <c r="A36" s="1">
        <f t="shared" si="0"/>
        <v>91108</v>
      </c>
      <c r="B36" s="1">
        <v>4</v>
      </c>
      <c r="C36" s="1" t="s">
        <v>108</v>
      </c>
      <c r="D36" s="1" t="s">
        <v>109</v>
      </c>
      <c r="E36" s="1" t="s">
        <v>110</v>
      </c>
      <c r="F36" s="1">
        <f t="shared" si="1"/>
        <v>1</v>
      </c>
      <c r="G36" s="1" t="s">
        <v>83</v>
      </c>
      <c r="H36" s="1">
        <v>10000</v>
      </c>
      <c r="I36" s="1">
        <v>10000</v>
      </c>
      <c r="J36" s="1" t="s">
        <v>84</v>
      </c>
      <c r="K36" s="1" t="s">
        <v>73</v>
      </c>
      <c r="L36" s="1">
        <v>589</v>
      </c>
      <c r="M36" s="1">
        <v>1</v>
      </c>
      <c r="N36" s="1">
        <f t="shared" si="2"/>
        <v>2008</v>
      </c>
    </row>
    <row r="37" ht="16.5" spans="1:14">
      <c r="A37" s="1">
        <f t="shared" si="0"/>
        <v>91109</v>
      </c>
      <c r="B37" s="2">
        <v>2</v>
      </c>
      <c r="C37" s="1" t="s">
        <v>111</v>
      </c>
      <c r="D37" s="1" t="s">
        <v>112</v>
      </c>
      <c r="E37" s="1" t="s">
        <v>113</v>
      </c>
      <c r="F37" s="1">
        <f t="shared" si="1"/>
        <v>1</v>
      </c>
      <c r="G37" s="1" t="s">
        <v>76</v>
      </c>
      <c r="H37" s="1">
        <v>10000</v>
      </c>
      <c r="I37" s="1">
        <v>2000</v>
      </c>
      <c r="J37" s="1" t="s">
        <v>77</v>
      </c>
      <c r="K37" s="1" t="s">
        <v>73</v>
      </c>
      <c r="L37" s="1">
        <v>883</v>
      </c>
      <c r="M37" s="1">
        <v>1</v>
      </c>
      <c r="N37" s="1">
        <f t="shared" si="2"/>
        <v>2009</v>
      </c>
    </row>
    <row r="38" ht="16.5" spans="1:14">
      <c r="A38" s="1">
        <f t="shared" si="0"/>
        <v>91110</v>
      </c>
      <c r="B38" s="1">
        <v>3</v>
      </c>
      <c r="C38" s="1" t="s">
        <v>111</v>
      </c>
      <c r="D38" s="1" t="s">
        <v>112</v>
      </c>
      <c r="E38" s="1" t="s">
        <v>113</v>
      </c>
      <c r="F38" s="1">
        <f t="shared" si="1"/>
        <v>1</v>
      </c>
      <c r="G38" s="1" t="s">
        <v>78</v>
      </c>
      <c r="H38" s="1">
        <v>10000</v>
      </c>
      <c r="I38" s="1">
        <v>5000</v>
      </c>
      <c r="J38" s="1" t="s">
        <v>79</v>
      </c>
      <c r="K38" s="1" t="s">
        <v>73</v>
      </c>
      <c r="L38" s="1">
        <v>1324</v>
      </c>
      <c r="M38" s="1">
        <v>1</v>
      </c>
      <c r="N38" s="1">
        <f t="shared" si="2"/>
        <v>2010</v>
      </c>
    </row>
    <row r="39" ht="16.5" spans="1:14">
      <c r="A39" s="1">
        <f t="shared" si="0"/>
        <v>91111</v>
      </c>
      <c r="B39" s="1">
        <v>4</v>
      </c>
      <c r="C39" s="1" t="s">
        <v>111</v>
      </c>
      <c r="D39" s="1" t="s">
        <v>112</v>
      </c>
      <c r="E39" s="1" t="s">
        <v>113</v>
      </c>
      <c r="F39" s="1">
        <f t="shared" si="1"/>
        <v>1</v>
      </c>
      <c r="G39" s="1" t="s">
        <v>83</v>
      </c>
      <c r="H39" s="1">
        <v>10000</v>
      </c>
      <c r="I39" s="1">
        <v>10000</v>
      </c>
      <c r="J39" s="1" t="s">
        <v>84</v>
      </c>
      <c r="K39" s="1" t="s">
        <v>73</v>
      </c>
      <c r="L39" s="1">
        <v>1986</v>
      </c>
      <c r="M39" s="1">
        <v>1</v>
      </c>
      <c r="N39" s="1">
        <f t="shared" si="2"/>
        <v>2011</v>
      </c>
    </row>
    <row r="40" ht="16.5" spans="1:14">
      <c r="A40" s="1">
        <f t="shared" si="0"/>
        <v>91112</v>
      </c>
      <c r="B40" s="1">
        <v>5</v>
      </c>
      <c r="C40" s="1" t="s">
        <v>111</v>
      </c>
      <c r="D40" s="1" t="s">
        <v>112</v>
      </c>
      <c r="E40" s="1" t="s">
        <v>113</v>
      </c>
      <c r="F40" s="1">
        <f t="shared" si="1"/>
        <v>1</v>
      </c>
      <c r="G40" s="1" t="s">
        <v>88</v>
      </c>
      <c r="H40" s="1">
        <v>10000</v>
      </c>
      <c r="I40" s="1">
        <v>10000</v>
      </c>
      <c r="J40" s="1" t="s">
        <v>89</v>
      </c>
      <c r="K40" s="1" t="s">
        <v>73</v>
      </c>
      <c r="L40" s="1">
        <v>2979</v>
      </c>
      <c r="M40" s="1">
        <v>1</v>
      </c>
      <c r="N40" s="1">
        <f t="shared" si="2"/>
        <v>2012</v>
      </c>
    </row>
    <row r="41" ht="16.5" spans="1:14">
      <c r="A41" s="1">
        <f t="shared" si="0"/>
        <v>91113</v>
      </c>
      <c r="B41" s="2">
        <v>3</v>
      </c>
      <c r="C41" s="1" t="s">
        <v>114</v>
      </c>
      <c r="D41" s="1" t="s">
        <v>115</v>
      </c>
      <c r="E41" s="1" t="s">
        <v>116</v>
      </c>
      <c r="F41" s="1">
        <f t="shared" si="1"/>
        <v>1</v>
      </c>
      <c r="G41" s="1" t="s">
        <v>78</v>
      </c>
      <c r="H41" s="1">
        <v>10000</v>
      </c>
      <c r="I41" s="1">
        <v>5000</v>
      </c>
      <c r="J41" s="1" t="s">
        <v>79</v>
      </c>
      <c r="K41" s="1" t="s">
        <v>73</v>
      </c>
      <c r="L41" s="1">
        <v>35</v>
      </c>
      <c r="M41" s="1">
        <v>1</v>
      </c>
      <c r="N41" s="1">
        <f t="shared" si="2"/>
        <v>2013</v>
      </c>
    </row>
    <row r="42" ht="16.5" spans="1:14">
      <c r="A42" s="1">
        <f t="shared" si="0"/>
        <v>91114</v>
      </c>
      <c r="B42" s="1">
        <v>4</v>
      </c>
      <c r="C42" s="1" t="s">
        <v>114</v>
      </c>
      <c r="D42" s="1" t="s">
        <v>115</v>
      </c>
      <c r="E42" s="1" t="s">
        <v>116</v>
      </c>
      <c r="F42" s="1">
        <f t="shared" si="1"/>
        <v>1</v>
      </c>
      <c r="G42" s="1" t="s">
        <v>83</v>
      </c>
      <c r="H42" s="1">
        <v>10000</v>
      </c>
      <c r="I42" s="1">
        <v>10000</v>
      </c>
      <c r="J42" s="1" t="s">
        <v>84</v>
      </c>
      <c r="K42" s="1" t="s">
        <v>73</v>
      </c>
      <c r="L42" s="1">
        <v>52</v>
      </c>
      <c r="M42" s="1">
        <v>1</v>
      </c>
      <c r="N42" s="1">
        <f t="shared" si="2"/>
        <v>2014</v>
      </c>
    </row>
    <row r="43" ht="16.5" spans="1:14">
      <c r="A43" s="1">
        <f t="shared" si="0"/>
        <v>91115</v>
      </c>
      <c r="B43" s="1">
        <v>5</v>
      </c>
      <c r="C43" s="1" t="s">
        <v>114</v>
      </c>
      <c r="D43" s="1" t="s">
        <v>115</v>
      </c>
      <c r="E43" s="1" t="s">
        <v>116</v>
      </c>
      <c r="F43" s="1">
        <f t="shared" si="1"/>
        <v>1</v>
      </c>
      <c r="G43" s="1" t="s">
        <v>88</v>
      </c>
      <c r="H43" s="1">
        <v>10000</v>
      </c>
      <c r="I43" s="1">
        <v>10000</v>
      </c>
      <c r="J43" s="1" t="s">
        <v>89</v>
      </c>
      <c r="K43" s="1" t="s">
        <v>73</v>
      </c>
      <c r="L43" s="1">
        <v>78</v>
      </c>
      <c r="M43" s="1">
        <v>1</v>
      </c>
      <c r="N43" s="1">
        <f t="shared" si="2"/>
        <v>2015</v>
      </c>
    </row>
    <row r="44" ht="16.5" spans="1:14">
      <c r="A44" s="1">
        <f t="shared" si="0"/>
        <v>91116</v>
      </c>
      <c r="B44" s="1">
        <v>6</v>
      </c>
      <c r="C44" s="1" t="s">
        <v>114</v>
      </c>
      <c r="D44" s="1" t="s">
        <v>115</v>
      </c>
      <c r="E44" s="1" t="s">
        <v>116</v>
      </c>
      <c r="F44" s="1">
        <f t="shared" si="1"/>
        <v>1</v>
      </c>
      <c r="G44" s="1" t="s">
        <v>93</v>
      </c>
      <c r="H44" s="1">
        <v>10000</v>
      </c>
      <c r="I44" s="1">
        <v>10000</v>
      </c>
      <c r="J44" s="1" t="s">
        <v>94</v>
      </c>
      <c r="K44" s="1" t="s">
        <v>73</v>
      </c>
      <c r="L44" s="1">
        <v>117</v>
      </c>
      <c r="M44" s="1">
        <v>1</v>
      </c>
      <c r="N44" s="1">
        <f t="shared" si="2"/>
        <v>2016</v>
      </c>
    </row>
    <row r="45" ht="16.5" spans="1:14">
      <c r="A45" s="1">
        <f t="shared" si="0"/>
        <v>91117</v>
      </c>
      <c r="B45" s="2">
        <v>4</v>
      </c>
      <c r="C45" s="1" t="s">
        <v>117</v>
      </c>
      <c r="D45" s="1" t="s">
        <v>118</v>
      </c>
      <c r="E45" s="1" t="s">
        <v>119</v>
      </c>
      <c r="F45" s="1">
        <f t="shared" si="1"/>
        <v>1</v>
      </c>
      <c r="G45" s="1" t="s">
        <v>83</v>
      </c>
      <c r="H45" s="1">
        <v>10000</v>
      </c>
      <c r="I45" s="1">
        <v>10000</v>
      </c>
      <c r="J45" s="1" t="s">
        <v>84</v>
      </c>
      <c r="K45" s="1" t="s">
        <v>73</v>
      </c>
      <c r="L45" s="1">
        <v>175</v>
      </c>
      <c r="M45" s="1">
        <v>1</v>
      </c>
      <c r="N45" s="1">
        <f t="shared" si="2"/>
        <v>2017</v>
      </c>
    </row>
    <row r="46" ht="16.5" spans="1:14">
      <c r="A46" s="1">
        <f t="shared" si="0"/>
        <v>91118</v>
      </c>
      <c r="B46" s="1">
        <v>5</v>
      </c>
      <c r="C46" s="1" t="s">
        <v>117</v>
      </c>
      <c r="D46" s="1" t="s">
        <v>118</v>
      </c>
      <c r="E46" s="1" t="s">
        <v>119</v>
      </c>
      <c r="F46" s="1">
        <f t="shared" si="1"/>
        <v>1</v>
      </c>
      <c r="G46" s="1" t="s">
        <v>88</v>
      </c>
      <c r="H46" s="1">
        <v>10000</v>
      </c>
      <c r="I46" s="1">
        <v>10000</v>
      </c>
      <c r="J46" s="1" t="s">
        <v>89</v>
      </c>
      <c r="K46" s="1" t="s">
        <v>73</v>
      </c>
      <c r="L46" s="1">
        <v>262</v>
      </c>
      <c r="M46" s="1">
        <v>1</v>
      </c>
      <c r="N46" s="1">
        <f t="shared" si="2"/>
        <v>2018</v>
      </c>
    </row>
    <row r="47" ht="16.5" spans="1:14">
      <c r="A47" s="1">
        <f t="shared" si="0"/>
        <v>91119</v>
      </c>
      <c r="B47" s="1">
        <v>6</v>
      </c>
      <c r="C47" s="1" t="s">
        <v>117</v>
      </c>
      <c r="D47" s="1" t="s">
        <v>118</v>
      </c>
      <c r="E47" s="1" t="s">
        <v>119</v>
      </c>
      <c r="F47" s="1">
        <f t="shared" si="1"/>
        <v>1</v>
      </c>
      <c r="G47" s="1" t="s">
        <v>93</v>
      </c>
      <c r="H47" s="1">
        <v>10000</v>
      </c>
      <c r="I47" s="1">
        <v>10000</v>
      </c>
      <c r="J47" s="1" t="s">
        <v>94</v>
      </c>
      <c r="K47" s="1" t="s">
        <v>73</v>
      </c>
      <c r="L47" s="1">
        <v>393</v>
      </c>
      <c r="M47" s="1">
        <v>1</v>
      </c>
      <c r="N47" s="1">
        <f t="shared" si="2"/>
        <v>2019</v>
      </c>
    </row>
    <row r="48" ht="16.5" spans="1:14">
      <c r="A48" s="1">
        <f t="shared" si="0"/>
        <v>91120</v>
      </c>
      <c r="B48" s="1">
        <v>7</v>
      </c>
      <c r="C48" s="1" t="s">
        <v>117</v>
      </c>
      <c r="D48" s="1" t="s">
        <v>118</v>
      </c>
      <c r="E48" s="1" t="s">
        <v>119</v>
      </c>
      <c r="F48" s="1">
        <f t="shared" si="1"/>
        <v>1</v>
      </c>
      <c r="G48" s="1" t="s">
        <v>98</v>
      </c>
      <c r="H48" s="1">
        <v>10000</v>
      </c>
      <c r="I48" s="1">
        <v>10000</v>
      </c>
      <c r="J48" s="1" t="s">
        <v>99</v>
      </c>
      <c r="K48" s="1" t="s">
        <v>73</v>
      </c>
      <c r="L48" s="1">
        <v>589</v>
      </c>
      <c r="M48" s="1">
        <v>1</v>
      </c>
      <c r="N48" s="1">
        <f t="shared" si="2"/>
        <v>2020</v>
      </c>
    </row>
    <row r="49" ht="16.5" spans="1:14">
      <c r="A49" s="1">
        <f t="shared" si="0"/>
        <v>91121</v>
      </c>
      <c r="B49" s="2">
        <v>5</v>
      </c>
      <c r="C49" s="1" t="s">
        <v>120</v>
      </c>
      <c r="D49" s="1" t="s">
        <v>121</v>
      </c>
      <c r="E49" s="1" t="s">
        <v>122</v>
      </c>
      <c r="F49" s="1">
        <f t="shared" si="1"/>
        <v>1</v>
      </c>
      <c r="G49" s="1" t="s">
        <v>88</v>
      </c>
      <c r="H49" s="1">
        <v>10000</v>
      </c>
      <c r="I49" s="1">
        <v>10000</v>
      </c>
      <c r="J49" s="1" t="s">
        <v>89</v>
      </c>
      <c r="K49" s="1" t="s">
        <v>73</v>
      </c>
      <c r="L49" s="1">
        <v>883</v>
      </c>
      <c r="M49" s="1">
        <v>1</v>
      </c>
      <c r="N49" s="1">
        <f t="shared" si="2"/>
        <v>2021</v>
      </c>
    </row>
    <row r="50" ht="16.5" spans="1:14">
      <c r="A50" s="1">
        <f t="shared" si="0"/>
        <v>91122</v>
      </c>
      <c r="B50" s="1">
        <v>6</v>
      </c>
      <c r="C50" s="1" t="s">
        <v>120</v>
      </c>
      <c r="D50" s="1" t="s">
        <v>121</v>
      </c>
      <c r="E50" s="1" t="s">
        <v>122</v>
      </c>
      <c r="F50" s="1">
        <f t="shared" si="1"/>
        <v>1</v>
      </c>
      <c r="G50" s="1" t="s">
        <v>93</v>
      </c>
      <c r="H50" s="1">
        <v>10000</v>
      </c>
      <c r="I50" s="1">
        <v>10000</v>
      </c>
      <c r="J50" s="1" t="s">
        <v>94</v>
      </c>
      <c r="K50" s="1" t="s">
        <v>73</v>
      </c>
      <c r="L50" s="1">
        <v>1324</v>
      </c>
      <c r="M50" s="1">
        <v>1</v>
      </c>
      <c r="N50" s="1">
        <f t="shared" si="2"/>
        <v>2022</v>
      </c>
    </row>
    <row r="51" ht="16.5" spans="1:14">
      <c r="A51" s="1">
        <f t="shared" si="0"/>
        <v>91123</v>
      </c>
      <c r="B51" s="1">
        <v>7</v>
      </c>
      <c r="C51" s="1" t="s">
        <v>120</v>
      </c>
      <c r="D51" s="1" t="s">
        <v>121</v>
      </c>
      <c r="E51" s="1" t="s">
        <v>122</v>
      </c>
      <c r="F51" s="1">
        <f t="shared" si="1"/>
        <v>1</v>
      </c>
      <c r="G51" s="1" t="s">
        <v>98</v>
      </c>
      <c r="H51" s="1">
        <v>10000</v>
      </c>
      <c r="I51" s="1">
        <v>10000</v>
      </c>
      <c r="J51" s="1" t="s">
        <v>99</v>
      </c>
      <c r="K51" s="1" t="s">
        <v>73</v>
      </c>
      <c r="L51" s="1">
        <v>1986</v>
      </c>
      <c r="M51" s="1">
        <v>1</v>
      </c>
      <c r="N51" s="1">
        <f t="shared" si="2"/>
        <v>2023</v>
      </c>
    </row>
    <row r="52" ht="16.5" spans="1:14">
      <c r="A52" s="1">
        <f t="shared" si="0"/>
        <v>91124</v>
      </c>
      <c r="B52" s="1">
        <v>8</v>
      </c>
      <c r="C52" s="1" t="s">
        <v>120</v>
      </c>
      <c r="D52" s="1" t="s">
        <v>121</v>
      </c>
      <c r="E52" s="1" t="s">
        <v>122</v>
      </c>
      <c r="F52" s="1">
        <f t="shared" si="1"/>
        <v>1</v>
      </c>
      <c r="G52" s="1" t="s">
        <v>103</v>
      </c>
      <c r="H52" s="1">
        <v>10000</v>
      </c>
      <c r="I52" s="1">
        <v>10000</v>
      </c>
      <c r="J52" s="1" t="s">
        <v>104</v>
      </c>
      <c r="K52" s="1" t="s">
        <v>73</v>
      </c>
      <c r="L52" s="1">
        <v>2979</v>
      </c>
      <c r="M52" s="1">
        <v>1</v>
      </c>
      <c r="N52" s="1">
        <f t="shared" si="2"/>
        <v>2024</v>
      </c>
    </row>
    <row r="53" ht="16.5" spans="1:14">
      <c r="A53" s="1">
        <f t="shared" si="0"/>
        <v>91201</v>
      </c>
      <c r="B53" s="2">
        <v>0</v>
      </c>
      <c r="C53" s="1" t="s">
        <v>123</v>
      </c>
      <c r="D53" s="1" t="s">
        <v>124</v>
      </c>
      <c r="E53" s="1" t="s">
        <v>125</v>
      </c>
      <c r="F53" s="1">
        <f t="shared" si="1"/>
        <v>2</v>
      </c>
      <c r="G53" s="1" t="s">
        <v>71</v>
      </c>
      <c r="H53" s="1">
        <v>0</v>
      </c>
      <c r="I53" s="1">
        <v>0</v>
      </c>
      <c r="J53" s="1" t="s">
        <v>72</v>
      </c>
      <c r="K53" s="1" t="s">
        <v>73</v>
      </c>
      <c r="L53" s="1">
        <v>35</v>
      </c>
      <c r="M53" s="1">
        <v>1</v>
      </c>
      <c r="N53" s="1">
        <f t="shared" si="2"/>
        <v>3001</v>
      </c>
    </row>
    <row r="54" ht="16.5" spans="1:14">
      <c r="A54" s="1">
        <f t="shared" si="0"/>
        <v>91202</v>
      </c>
      <c r="B54" s="1">
        <v>1</v>
      </c>
      <c r="C54" s="1" t="s">
        <v>123</v>
      </c>
      <c r="D54" s="1" t="s">
        <v>124</v>
      </c>
      <c r="E54" s="1" t="s">
        <v>125</v>
      </c>
      <c r="F54" s="1">
        <f t="shared" si="1"/>
        <v>2</v>
      </c>
      <c r="G54" s="1" t="s">
        <v>74</v>
      </c>
      <c r="H54" s="1">
        <v>3000</v>
      </c>
      <c r="I54" s="1">
        <v>0</v>
      </c>
      <c r="J54" s="1" t="s">
        <v>75</v>
      </c>
      <c r="K54" s="1" t="s">
        <v>73</v>
      </c>
      <c r="L54" s="1">
        <v>52</v>
      </c>
      <c r="M54" s="1">
        <v>1</v>
      </c>
      <c r="N54" s="1">
        <f t="shared" si="2"/>
        <v>3002</v>
      </c>
    </row>
    <row r="55" ht="16.5" spans="1:14">
      <c r="A55" s="1">
        <f t="shared" si="0"/>
        <v>91203</v>
      </c>
      <c r="B55" s="1">
        <v>2</v>
      </c>
      <c r="C55" s="1" t="s">
        <v>123</v>
      </c>
      <c r="D55" s="1" t="s">
        <v>124</v>
      </c>
      <c r="E55" s="1" t="s">
        <v>125</v>
      </c>
      <c r="F55" s="1">
        <f t="shared" si="1"/>
        <v>2</v>
      </c>
      <c r="G55" s="1" t="s">
        <v>76</v>
      </c>
      <c r="H55" s="1">
        <v>6000</v>
      </c>
      <c r="I55" s="1">
        <v>0</v>
      </c>
      <c r="J55" s="1" t="s">
        <v>77</v>
      </c>
      <c r="K55" s="1" t="s">
        <v>73</v>
      </c>
      <c r="L55" s="1">
        <v>78</v>
      </c>
      <c r="M55" s="1">
        <v>1</v>
      </c>
      <c r="N55" s="1">
        <f t="shared" si="2"/>
        <v>3003</v>
      </c>
    </row>
    <row r="56" ht="16.5" spans="1:14">
      <c r="A56" s="1">
        <f t="shared" si="0"/>
        <v>91204</v>
      </c>
      <c r="B56" s="1">
        <v>3</v>
      </c>
      <c r="C56" s="1" t="s">
        <v>123</v>
      </c>
      <c r="D56" s="1" t="s">
        <v>124</v>
      </c>
      <c r="E56" s="1" t="s">
        <v>125</v>
      </c>
      <c r="F56" s="1">
        <f t="shared" si="1"/>
        <v>2</v>
      </c>
      <c r="G56" s="1" t="s">
        <v>78</v>
      </c>
      <c r="H56" s="1">
        <v>10000</v>
      </c>
      <c r="I56" s="1">
        <v>2000</v>
      </c>
      <c r="J56" s="1" t="s">
        <v>79</v>
      </c>
      <c r="K56" s="1" t="s">
        <v>73</v>
      </c>
      <c r="L56" s="1">
        <v>117</v>
      </c>
      <c r="M56" s="1">
        <v>1</v>
      </c>
      <c r="N56" s="1">
        <f t="shared" si="2"/>
        <v>3004</v>
      </c>
    </row>
    <row r="57" ht="16.5" spans="1:14">
      <c r="A57" s="1">
        <f t="shared" si="0"/>
        <v>91205</v>
      </c>
      <c r="B57" s="2">
        <v>1</v>
      </c>
      <c r="C57" s="1" t="s">
        <v>126</v>
      </c>
      <c r="D57" s="1" t="s">
        <v>127</v>
      </c>
      <c r="E57" s="1" t="s">
        <v>128</v>
      </c>
      <c r="F57" s="1">
        <f t="shared" si="1"/>
        <v>2</v>
      </c>
      <c r="G57" s="1" t="s">
        <v>74</v>
      </c>
      <c r="H57" s="1">
        <v>6000</v>
      </c>
      <c r="I57" s="1">
        <v>0</v>
      </c>
      <c r="J57" s="1" t="s">
        <v>75</v>
      </c>
      <c r="K57" s="1" t="s">
        <v>73</v>
      </c>
      <c r="L57" s="1">
        <v>175</v>
      </c>
      <c r="M57" s="1">
        <v>1</v>
      </c>
      <c r="N57" s="1">
        <f t="shared" si="2"/>
        <v>3005</v>
      </c>
    </row>
    <row r="58" ht="16.5" spans="1:14">
      <c r="A58" s="1">
        <f t="shared" si="0"/>
        <v>91206</v>
      </c>
      <c r="B58" s="1">
        <v>2</v>
      </c>
      <c r="C58" s="1" t="s">
        <v>126</v>
      </c>
      <c r="D58" s="1" t="s">
        <v>127</v>
      </c>
      <c r="E58" s="1" t="s">
        <v>128</v>
      </c>
      <c r="F58" s="1">
        <f t="shared" si="1"/>
        <v>2</v>
      </c>
      <c r="G58" s="1" t="s">
        <v>76</v>
      </c>
      <c r="H58" s="1">
        <v>10000</v>
      </c>
      <c r="I58" s="1">
        <v>2000</v>
      </c>
      <c r="J58" s="1" t="s">
        <v>77</v>
      </c>
      <c r="K58" s="1" t="s">
        <v>73</v>
      </c>
      <c r="L58" s="1">
        <v>262</v>
      </c>
      <c r="M58" s="1">
        <v>1</v>
      </c>
      <c r="N58" s="1">
        <f t="shared" si="2"/>
        <v>3006</v>
      </c>
    </row>
    <row r="59" ht="16.5" spans="1:14">
      <c r="A59" s="1">
        <f t="shared" si="0"/>
        <v>91207</v>
      </c>
      <c r="B59" s="1">
        <v>3</v>
      </c>
      <c r="C59" s="1" t="s">
        <v>126</v>
      </c>
      <c r="D59" s="1" t="s">
        <v>127</v>
      </c>
      <c r="E59" s="1" t="s">
        <v>128</v>
      </c>
      <c r="F59" s="1">
        <f t="shared" si="1"/>
        <v>2</v>
      </c>
      <c r="G59" s="1" t="s">
        <v>78</v>
      </c>
      <c r="H59" s="1">
        <v>10000</v>
      </c>
      <c r="I59" s="1">
        <v>5000</v>
      </c>
      <c r="J59" s="1" t="s">
        <v>79</v>
      </c>
      <c r="K59" s="1" t="s">
        <v>73</v>
      </c>
      <c r="L59" s="1">
        <v>393</v>
      </c>
      <c r="M59" s="1">
        <v>1</v>
      </c>
      <c r="N59" s="1">
        <f t="shared" si="2"/>
        <v>3007</v>
      </c>
    </row>
    <row r="60" ht="16.5" spans="1:14">
      <c r="A60" s="1">
        <f t="shared" si="0"/>
        <v>91208</v>
      </c>
      <c r="B60" s="1">
        <v>4</v>
      </c>
      <c r="C60" s="1" t="s">
        <v>126</v>
      </c>
      <c r="D60" s="1" t="s">
        <v>127</v>
      </c>
      <c r="E60" s="1" t="s">
        <v>128</v>
      </c>
      <c r="F60" s="1">
        <f t="shared" si="1"/>
        <v>2</v>
      </c>
      <c r="G60" s="1" t="s">
        <v>83</v>
      </c>
      <c r="H60" s="1">
        <v>10000</v>
      </c>
      <c r="I60" s="1">
        <v>10000</v>
      </c>
      <c r="J60" s="1" t="s">
        <v>84</v>
      </c>
      <c r="K60" s="1" t="s">
        <v>73</v>
      </c>
      <c r="L60" s="1">
        <v>589</v>
      </c>
      <c r="M60" s="1">
        <v>1</v>
      </c>
      <c r="N60" s="1">
        <f t="shared" si="2"/>
        <v>3008</v>
      </c>
    </row>
    <row r="61" ht="16.5" spans="1:14">
      <c r="A61" s="1">
        <f t="shared" si="0"/>
        <v>91209</v>
      </c>
      <c r="B61" s="2">
        <v>2</v>
      </c>
      <c r="C61" s="1" t="s">
        <v>129</v>
      </c>
      <c r="D61" s="1" t="s">
        <v>130</v>
      </c>
      <c r="E61" s="1" t="s">
        <v>131</v>
      </c>
      <c r="F61" s="1">
        <f t="shared" si="1"/>
        <v>2</v>
      </c>
      <c r="G61" s="1" t="s">
        <v>76</v>
      </c>
      <c r="H61" s="1">
        <v>10000</v>
      </c>
      <c r="I61" s="1">
        <v>2000</v>
      </c>
      <c r="J61" s="1" t="s">
        <v>77</v>
      </c>
      <c r="K61" s="1" t="s">
        <v>73</v>
      </c>
      <c r="L61" s="1">
        <v>883</v>
      </c>
      <c r="M61" s="1">
        <v>1</v>
      </c>
      <c r="N61" s="1">
        <f t="shared" si="2"/>
        <v>3009</v>
      </c>
    </row>
    <row r="62" ht="16.5" spans="1:14">
      <c r="A62" s="1">
        <f t="shared" si="0"/>
        <v>91210</v>
      </c>
      <c r="B62" s="1">
        <v>3</v>
      </c>
      <c r="C62" s="1" t="s">
        <v>129</v>
      </c>
      <c r="D62" s="1" t="s">
        <v>130</v>
      </c>
      <c r="E62" s="1" t="s">
        <v>131</v>
      </c>
      <c r="F62" s="1">
        <f t="shared" si="1"/>
        <v>2</v>
      </c>
      <c r="G62" s="1" t="s">
        <v>78</v>
      </c>
      <c r="H62" s="1">
        <v>10000</v>
      </c>
      <c r="I62" s="1">
        <v>5000</v>
      </c>
      <c r="J62" s="1" t="s">
        <v>79</v>
      </c>
      <c r="K62" s="1" t="s">
        <v>73</v>
      </c>
      <c r="L62" s="1">
        <v>1324</v>
      </c>
      <c r="M62" s="1">
        <v>1</v>
      </c>
      <c r="N62" s="1">
        <f t="shared" si="2"/>
        <v>3010</v>
      </c>
    </row>
    <row r="63" ht="16.5" spans="1:14">
      <c r="A63" s="1">
        <f t="shared" si="0"/>
        <v>91211</v>
      </c>
      <c r="B63" s="1">
        <v>4</v>
      </c>
      <c r="C63" s="1" t="s">
        <v>129</v>
      </c>
      <c r="D63" s="1" t="s">
        <v>130</v>
      </c>
      <c r="E63" s="1" t="s">
        <v>131</v>
      </c>
      <c r="F63" s="1">
        <f t="shared" si="1"/>
        <v>2</v>
      </c>
      <c r="G63" s="1" t="s">
        <v>83</v>
      </c>
      <c r="H63" s="1">
        <v>10000</v>
      </c>
      <c r="I63" s="1">
        <v>10000</v>
      </c>
      <c r="J63" s="1" t="s">
        <v>84</v>
      </c>
      <c r="K63" s="1" t="s">
        <v>73</v>
      </c>
      <c r="L63" s="1">
        <v>1986</v>
      </c>
      <c r="M63" s="1">
        <v>1</v>
      </c>
      <c r="N63" s="1">
        <f t="shared" si="2"/>
        <v>3011</v>
      </c>
    </row>
    <row r="64" ht="16.5" spans="1:14">
      <c r="A64" s="1">
        <f t="shared" si="0"/>
        <v>91212</v>
      </c>
      <c r="B64" s="1">
        <v>5</v>
      </c>
      <c r="C64" s="1" t="s">
        <v>129</v>
      </c>
      <c r="D64" s="1" t="s">
        <v>130</v>
      </c>
      <c r="E64" s="1" t="s">
        <v>131</v>
      </c>
      <c r="F64" s="1">
        <f t="shared" si="1"/>
        <v>2</v>
      </c>
      <c r="G64" s="1" t="s">
        <v>88</v>
      </c>
      <c r="H64" s="1">
        <v>10000</v>
      </c>
      <c r="I64" s="1">
        <v>10000</v>
      </c>
      <c r="J64" s="1" t="s">
        <v>89</v>
      </c>
      <c r="K64" s="1" t="s">
        <v>73</v>
      </c>
      <c r="L64" s="1">
        <v>2979</v>
      </c>
      <c r="M64" s="1">
        <v>1</v>
      </c>
      <c r="N64" s="1">
        <f t="shared" si="2"/>
        <v>3012</v>
      </c>
    </row>
    <row r="65" ht="16.5" spans="1:14">
      <c r="A65" s="1">
        <f t="shared" si="0"/>
        <v>91213</v>
      </c>
      <c r="B65" s="2">
        <v>3</v>
      </c>
      <c r="C65" s="1" t="s">
        <v>132</v>
      </c>
      <c r="D65" s="1" t="s">
        <v>133</v>
      </c>
      <c r="E65" s="1" t="s">
        <v>134</v>
      </c>
      <c r="F65" s="1">
        <f t="shared" si="1"/>
        <v>2</v>
      </c>
      <c r="G65" s="1" t="s">
        <v>78</v>
      </c>
      <c r="H65" s="1">
        <v>10000</v>
      </c>
      <c r="I65" s="1">
        <v>5000</v>
      </c>
      <c r="J65" s="1" t="s">
        <v>79</v>
      </c>
      <c r="K65" s="1" t="s">
        <v>73</v>
      </c>
      <c r="L65" s="1">
        <v>35</v>
      </c>
      <c r="M65" s="1">
        <v>1</v>
      </c>
      <c r="N65" s="1">
        <f t="shared" si="2"/>
        <v>3013</v>
      </c>
    </row>
    <row r="66" ht="16.5" spans="1:14">
      <c r="A66" s="1">
        <f t="shared" si="0"/>
        <v>91214</v>
      </c>
      <c r="B66" s="1">
        <v>4</v>
      </c>
      <c r="C66" s="1" t="s">
        <v>132</v>
      </c>
      <c r="D66" s="1" t="s">
        <v>133</v>
      </c>
      <c r="E66" s="1" t="s">
        <v>134</v>
      </c>
      <c r="F66" s="1">
        <f t="shared" si="1"/>
        <v>2</v>
      </c>
      <c r="G66" s="1" t="s">
        <v>83</v>
      </c>
      <c r="H66" s="1">
        <v>10000</v>
      </c>
      <c r="I66" s="1">
        <v>10000</v>
      </c>
      <c r="J66" s="1" t="s">
        <v>84</v>
      </c>
      <c r="K66" s="1" t="s">
        <v>73</v>
      </c>
      <c r="L66" s="1">
        <v>52</v>
      </c>
      <c r="M66" s="1">
        <v>1</v>
      </c>
      <c r="N66" s="1">
        <f t="shared" si="2"/>
        <v>3014</v>
      </c>
    </row>
    <row r="67" ht="16.5" spans="1:14">
      <c r="A67" s="1">
        <f t="shared" si="0"/>
        <v>91215</v>
      </c>
      <c r="B67" s="1">
        <v>5</v>
      </c>
      <c r="C67" s="1" t="s">
        <v>132</v>
      </c>
      <c r="D67" s="1" t="s">
        <v>133</v>
      </c>
      <c r="E67" s="1" t="s">
        <v>134</v>
      </c>
      <c r="F67" s="1">
        <f t="shared" si="1"/>
        <v>2</v>
      </c>
      <c r="G67" s="1" t="s">
        <v>88</v>
      </c>
      <c r="H67" s="1">
        <v>10000</v>
      </c>
      <c r="I67" s="1">
        <v>10000</v>
      </c>
      <c r="J67" s="1" t="s">
        <v>89</v>
      </c>
      <c r="K67" s="1" t="s">
        <v>73</v>
      </c>
      <c r="L67" s="1">
        <v>78</v>
      </c>
      <c r="M67" s="1">
        <v>1</v>
      </c>
      <c r="N67" s="1">
        <f t="shared" si="2"/>
        <v>3015</v>
      </c>
    </row>
    <row r="68" ht="16.5" spans="1:14">
      <c r="A68" s="1">
        <f t="shared" si="0"/>
        <v>91216</v>
      </c>
      <c r="B68" s="1">
        <v>6</v>
      </c>
      <c r="C68" s="1" t="s">
        <v>132</v>
      </c>
      <c r="D68" s="1" t="s">
        <v>133</v>
      </c>
      <c r="E68" s="1" t="s">
        <v>134</v>
      </c>
      <c r="F68" s="1">
        <f t="shared" si="1"/>
        <v>2</v>
      </c>
      <c r="G68" s="1" t="s">
        <v>93</v>
      </c>
      <c r="H68" s="1">
        <v>10000</v>
      </c>
      <c r="I68" s="1">
        <v>10000</v>
      </c>
      <c r="J68" s="1" t="s">
        <v>94</v>
      </c>
      <c r="K68" s="1" t="s">
        <v>73</v>
      </c>
      <c r="L68" s="1">
        <v>117</v>
      </c>
      <c r="M68" s="1">
        <v>1</v>
      </c>
      <c r="N68" s="1">
        <f t="shared" si="2"/>
        <v>3016</v>
      </c>
    </row>
    <row r="69" ht="16.5" spans="1:14">
      <c r="A69" s="1">
        <f t="shared" si="0"/>
        <v>91217</v>
      </c>
      <c r="B69" s="2">
        <v>4</v>
      </c>
      <c r="C69" s="1" t="s">
        <v>135</v>
      </c>
      <c r="D69" s="1" t="s">
        <v>136</v>
      </c>
      <c r="E69" s="1" t="s">
        <v>137</v>
      </c>
      <c r="F69" s="1">
        <f t="shared" si="1"/>
        <v>2</v>
      </c>
      <c r="G69" s="1" t="s">
        <v>83</v>
      </c>
      <c r="H69" s="1">
        <v>10000</v>
      </c>
      <c r="I69" s="1">
        <v>10000</v>
      </c>
      <c r="J69" s="1" t="s">
        <v>84</v>
      </c>
      <c r="K69" s="1" t="s">
        <v>73</v>
      </c>
      <c r="L69" s="1">
        <v>175</v>
      </c>
      <c r="M69" s="1">
        <v>1</v>
      </c>
      <c r="N69" s="1">
        <f t="shared" si="2"/>
        <v>3017</v>
      </c>
    </row>
    <row r="70" ht="16.5" spans="1:14">
      <c r="A70" s="1">
        <f t="shared" si="0"/>
        <v>91218</v>
      </c>
      <c r="B70" s="1">
        <v>5</v>
      </c>
      <c r="C70" s="1" t="s">
        <v>135</v>
      </c>
      <c r="D70" s="1" t="s">
        <v>136</v>
      </c>
      <c r="E70" s="1" t="s">
        <v>137</v>
      </c>
      <c r="F70" s="1">
        <f t="shared" si="1"/>
        <v>2</v>
      </c>
      <c r="G70" s="1" t="s">
        <v>88</v>
      </c>
      <c r="H70" s="1">
        <v>10000</v>
      </c>
      <c r="I70" s="1">
        <v>10000</v>
      </c>
      <c r="J70" s="1" t="s">
        <v>89</v>
      </c>
      <c r="K70" s="1" t="s">
        <v>73</v>
      </c>
      <c r="L70" s="1">
        <v>262</v>
      </c>
      <c r="M70" s="1">
        <v>1</v>
      </c>
      <c r="N70" s="1">
        <f t="shared" si="2"/>
        <v>3018</v>
      </c>
    </row>
    <row r="71" ht="16.5" spans="1:14">
      <c r="A71" s="1">
        <f t="shared" si="0"/>
        <v>91219</v>
      </c>
      <c r="B71" s="1">
        <v>6</v>
      </c>
      <c r="C71" s="1" t="s">
        <v>135</v>
      </c>
      <c r="D71" s="1" t="s">
        <v>136</v>
      </c>
      <c r="E71" s="1" t="s">
        <v>137</v>
      </c>
      <c r="F71" s="1">
        <f t="shared" si="1"/>
        <v>2</v>
      </c>
      <c r="G71" s="1" t="s">
        <v>93</v>
      </c>
      <c r="H71" s="1">
        <v>10000</v>
      </c>
      <c r="I71" s="1">
        <v>10000</v>
      </c>
      <c r="J71" s="1" t="s">
        <v>94</v>
      </c>
      <c r="K71" s="1" t="s">
        <v>73</v>
      </c>
      <c r="L71" s="1">
        <v>393</v>
      </c>
      <c r="M71" s="1">
        <v>1</v>
      </c>
      <c r="N71" s="1">
        <f t="shared" si="2"/>
        <v>3019</v>
      </c>
    </row>
    <row r="72" ht="16.5" spans="1:14">
      <c r="A72" s="1">
        <f t="shared" si="0"/>
        <v>91220</v>
      </c>
      <c r="B72" s="1">
        <v>7</v>
      </c>
      <c r="C72" s="1" t="s">
        <v>135</v>
      </c>
      <c r="D72" s="1" t="s">
        <v>136</v>
      </c>
      <c r="E72" s="1" t="s">
        <v>137</v>
      </c>
      <c r="F72" s="1">
        <f t="shared" si="1"/>
        <v>2</v>
      </c>
      <c r="G72" s="1" t="s">
        <v>98</v>
      </c>
      <c r="H72" s="1">
        <v>10000</v>
      </c>
      <c r="I72" s="1">
        <v>10000</v>
      </c>
      <c r="J72" s="1" t="s">
        <v>99</v>
      </c>
      <c r="K72" s="1" t="s">
        <v>73</v>
      </c>
      <c r="L72" s="1">
        <v>589</v>
      </c>
      <c r="M72" s="1">
        <v>1</v>
      </c>
      <c r="N72" s="1">
        <f t="shared" si="2"/>
        <v>3020</v>
      </c>
    </row>
    <row r="73" ht="16.5" spans="1:14">
      <c r="A73" s="1">
        <f t="shared" si="0"/>
        <v>91221</v>
      </c>
      <c r="B73" s="2">
        <v>5</v>
      </c>
      <c r="C73" s="1" t="s">
        <v>138</v>
      </c>
      <c r="D73" s="1" t="s">
        <v>139</v>
      </c>
      <c r="E73" s="1" t="s">
        <v>140</v>
      </c>
      <c r="F73" s="1">
        <f t="shared" si="1"/>
        <v>2</v>
      </c>
      <c r="G73" s="1" t="s">
        <v>88</v>
      </c>
      <c r="H73" s="1">
        <v>10000</v>
      </c>
      <c r="I73" s="1">
        <v>10000</v>
      </c>
      <c r="J73" s="1" t="s">
        <v>89</v>
      </c>
      <c r="K73" s="1" t="s">
        <v>73</v>
      </c>
      <c r="L73" s="1">
        <v>883</v>
      </c>
      <c r="M73" s="1">
        <v>1</v>
      </c>
      <c r="N73" s="1">
        <f t="shared" si="2"/>
        <v>3021</v>
      </c>
    </row>
    <row r="74" ht="16.5" spans="1:14">
      <c r="A74" s="1">
        <f t="shared" si="0"/>
        <v>91222</v>
      </c>
      <c r="B74" s="1">
        <v>6</v>
      </c>
      <c r="C74" s="1" t="s">
        <v>138</v>
      </c>
      <c r="D74" s="1" t="s">
        <v>139</v>
      </c>
      <c r="E74" s="1" t="s">
        <v>140</v>
      </c>
      <c r="F74" s="1">
        <f t="shared" si="1"/>
        <v>2</v>
      </c>
      <c r="G74" s="1" t="s">
        <v>93</v>
      </c>
      <c r="H74" s="1">
        <v>10000</v>
      </c>
      <c r="I74" s="1">
        <v>10000</v>
      </c>
      <c r="J74" s="1" t="s">
        <v>94</v>
      </c>
      <c r="K74" s="1" t="s">
        <v>73</v>
      </c>
      <c r="L74" s="1">
        <v>1324</v>
      </c>
      <c r="M74" s="1">
        <v>1</v>
      </c>
      <c r="N74" s="1">
        <f t="shared" si="2"/>
        <v>3022</v>
      </c>
    </row>
    <row r="75" ht="16.5" spans="1:14">
      <c r="A75" s="1">
        <f t="shared" si="0"/>
        <v>91223</v>
      </c>
      <c r="B75" s="1">
        <v>7</v>
      </c>
      <c r="C75" s="1" t="s">
        <v>138</v>
      </c>
      <c r="D75" s="1" t="s">
        <v>139</v>
      </c>
      <c r="E75" s="1" t="s">
        <v>140</v>
      </c>
      <c r="F75" s="1">
        <f t="shared" si="1"/>
        <v>2</v>
      </c>
      <c r="G75" s="1" t="s">
        <v>98</v>
      </c>
      <c r="H75" s="1">
        <v>10000</v>
      </c>
      <c r="I75" s="1">
        <v>10000</v>
      </c>
      <c r="J75" s="1" t="s">
        <v>99</v>
      </c>
      <c r="K75" s="1" t="s">
        <v>73</v>
      </c>
      <c r="L75" s="1">
        <v>1986</v>
      </c>
      <c r="M75" s="1">
        <v>1</v>
      </c>
      <c r="N75" s="1">
        <f t="shared" si="2"/>
        <v>3023</v>
      </c>
    </row>
    <row r="76" ht="16.5" spans="1:14">
      <c r="A76" s="1">
        <f t="shared" si="0"/>
        <v>91224</v>
      </c>
      <c r="B76" s="1">
        <v>8</v>
      </c>
      <c r="C76" s="1" t="s">
        <v>138</v>
      </c>
      <c r="D76" s="1" t="s">
        <v>139</v>
      </c>
      <c r="E76" s="1" t="s">
        <v>140</v>
      </c>
      <c r="F76" s="1">
        <f t="shared" si="1"/>
        <v>2</v>
      </c>
      <c r="G76" s="1" t="s">
        <v>103</v>
      </c>
      <c r="H76" s="1">
        <v>10000</v>
      </c>
      <c r="I76" s="1">
        <v>10000</v>
      </c>
      <c r="J76" s="1" t="s">
        <v>104</v>
      </c>
      <c r="K76" s="1" t="s">
        <v>73</v>
      </c>
      <c r="L76" s="1">
        <v>2979</v>
      </c>
      <c r="M76" s="1">
        <v>1</v>
      </c>
      <c r="N76" s="1">
        <f t="shared" si="2"/>
        <v>3024</v>
      </c>
    </row>
    <row r="77" ht="16.5" spans="1:14">
      <c r="A77" s="1">
        <f t="shared" si="0"/>
        <v>91301</v>
      </c>
      <c r="B77" s="2">
        <v>0</v>
      </c>
      <c r="C77" s="1" t="s">
        <v>141</v>
      </c>
      <c r="D77" s="1" t="s">
        <v>142</v>
      </c>
      <c r="E77" s="1" t="s">
        <v>143</v>
      </c>
      <c r="F77" s="1">
        <f t="shared" si="1"/>
        <v>3</v>
      </c>
      <c r="G77" s="1" t="s">
        <v>71</v>
      </c>
      <c r="H77" s="1">
        <v>0</v>
      </c>
      <c r="I77" s="1">
        <v>0</v>
      </c>
      <c r="J77" s="1" t="s">
        <v>72</v>
      </c>
      <c r="K77" s="1" t="s">
        <v>73</v>
      </c>
      <c r="L77" s="1">
        <v>35</v>
      </c>
      <c r="M77" s="1">
        <v>1</v>
      </c>
      <c r="N77" s="1">
        <f t="shared" si="2"/>
        <v>4001</v>
      </c>
    </row>
    <row r="78" ht="16.5" spans="1:14">
      <c r="A78" s="1">
        <f t="shared" si="0"/>
        <v>91302</v>
      </c>
      <c r="B78" s="1">
        <v>1</v>
      </c>
      <c r="C78" s="1" t="s">
        <v>141</v>
      </c>
      <c r="D78" s="1" t="s">
        <v>142</v>
      </c>
      <c r="E78" s="1" t="s">
        <v>143</v>
      </c>
      <c r="F78" s="1">
        <f t="shared" si="1"/>
        <v>3</v>
      </c>
      <c r="G78" s="1" t="s">
        <v>74</v>
      </c>
      <c r="H78" s="1">
        <v>3000</v>
      </c>
      <c r="I78" s="1">
        <v>0</v>
      </c>
      <c r="J78" s="1" t="s">
        <v>75</v>
      </c>
      <c r="K78" s="1" t="s">
        <v>73</v>
      </c>
      <c r="L78" s="1">
        <v>52</v>
      </c>
      <c r="M78" s="1">
        <v>1</v>
      </c>
      <c r="N78" s="1">
        <f t="shared" si="2"/>
        <v>4002</v>
      </c>
    </row>
    <row r="79" ht="16.5" spans="1:14">
      <c r="A79" s="1">
        <f t="shared" si="0"/>
        <v>91303</v>
      </c>
      <c r="B79" s="1">
        <v>2</v>
      </c>
      <c r="C79" s="1" t="s">
        <v>141</v>
      </c>
      <c r="D79" s="1" t="s">
        <v>142</v>
      </c>
      <c r="E79" s="1" t="s">
        <v>143</v>
      </c>
      <c r="F79" s="1">
        <f t="shared" si="1"/>
        <v>3</v>
      </c>
      <c r="G79" s="1" t="s">
        <v>76</v>
      </c>
      <c r="H79" s="1">
        <v>6000</v>
      </c>
      <c r="I79" s="1">
        <v>0</v>
      </c>
      <c r="J79" s="1" t="s">
        <v>77</v>
      </c>
      <c r="K79" s="1" t="s">
        <v>73</v>
      </c>
      <c r="L79" s="1">
        <v>78</v>
      </c>
      <c r="M79" s="1">
        <v>1</v>
      </c>
      <c r="N79" s="1">
        <f t="shared" si="2"/>
        <v>4003</v>
      </c>
    </row>
    <row r="80" ht="16.5" spans="1:14">
      <c r="A80" s="1">
        <f t="shared" si="0"/>
        <v>91304</v>
      </c>
      <c r="B80" s="1">
        <v>3</v>
      </c>
      <c r="C80" s="1" t="s">
        <v>141</v>
      </c>
      <c r="D80" s="1" t="s">
        <v>142</v>
      </c>
      <c r="E80" s="1" t="s">
        <v>143</v>
      </c>
      <c r="F80" s="1">
        <f t="shared" si="1"/>
        <v>3</v>
      </c>
      <c r="G80" s="1" t="s">
        <v>78</v>
      </c>
      <c r="H80" s="1">
        <v>10000</v>
      </c>
      <c r="I80" s="1">
        <v>2000</v>
      </c>
      <c r="J80" s="1" t="s">
        <v>79</v>
      </c>
      <c r="K80" s="1" t="s">
        <v>73</v>
      </c>
      <c r="L80" s="1">
        <v>117</v>
      </c>
      <c r="M80" s="1">
        <v>1</v>
      </c>
      <c r="N80" s="1">
        <f t="shared" si="2"/>
        <v>4004</v>
      </c>
    </row>
    <row r="81" ht="16.5" spans="1:14">
      <c r="A81" s="1">
        <f t="shared" si="0"/>
        <v>91305</v>
      </c>
      <c r="B81" s="2">
        <v>1</v>
      </c>
      <c r="C81" s="1" t="s">
        <v>144</v>
      </c>
      <c r="D81" s="1" t="s">
        <v>145</v>
      </c>
      <c r="E81" s="1" t="s">
        <v>146</v>
      </c>
      <c r="F81" s="1">
        <f t="shared" si="1"/>
        <v>3</v>
      </c>
      <c r="G81" s="1" t="s">
        <v>74</v>
      </c>
      <c r="H81" s="1">
        <v>6000</v>
      </c>
      <c r="I81" s="1">
        <v>0</v>
      </c>
      <c r="J81" s="1" t="s">
        <v>75</v>
      </c>
      <c r="K81" s="1" t="s">
        <v>73</v>
      </c>
      <c r="L81" s="1">
        <v>175</v>
      </c>
      <c r="M81" s="1">
        <v>1</v>
      </c>
      <c r="N81" s="1">
        <f t="shared" si="2"/>
        <v>4005</v>
      </c>
    </row>
    <row r="82" ht="16.5" spans="1:14">
      <c r="A82" s="1">
        <f t="shared" si="0"/>
        <v>91306</v>
      </c>
      <c r="B82" s="1">
        <v>2</v>
      </c>
      <c r="C82" s="1" t="s">
        <v>144</v>
      </c>
      <c r="D82" s="1" t="s">
        <v>145</v>
      </c>
      <c r="E82" s="1" t="s">
        <v>146</v>
      </c>
      <c r="F82" s="1">
        <f t="shared" si="1"/>
        <v>3</v>
      </c>
      <c r="G82" s="1" t="s">
        <v>76</v>
      </c>
      <c r="H82" s="1">
        <v>10000</v>
      </c>
      <c r="I82" s="1">
        <v>2000</v>
      </c>
      <c r="J82" s="1" t="s">
        <v>77</v>
      </c>
      <c r="K82" s="1" t="s">
        <v>73</v>
      </c>
      <c r="L82" s="1">
        <v>262</v>
      </c>
      <c r="M82" s="1">
        <v>1</v>
      </c>
      <c r="N82" s="1">
        <f t="shared" si="2"/>
        <v>4006</v>
      </c>
    </row>
    <row r="83" ht="16.5" spans="1:14">
      <c r="A83" s="1">
        <f t="shared" si="0"/>
        <v>91307</v>
      </c>
      <c r="B83" s="1">
        <v>3</v>
      </c>
      <c r="C83" s="1" t="s">
        <v>144</v>
      </c>
      <c r="D83" s="1" t="s">
        <v>145</v>
      </c>
      <c r="E83" s="1" t="s">
        <v>146</v>
      </c>
      <c r="F83" s="1">
        <f t="shared" si="1"/>
        <v>3</v>
      </c>
      <c r="G83" s="1" t="s">
        <v>78</v>
      </c>
      <c r="H83" s="1">
        <v>10000</v>
      </c>
      <c r="I83" s="1">
        <v>5000</v>
      </c>
      <c r="J83" s="1" t="s">
        <v>79</v>
      </c>
      <c r="K83" s="1" t="s">
        <v>73</v>
      </c>
      <c r="L83" s="1">
        <v>393</v>
      </c>
      <c r="M83" s="1">
        <v>1</v>
      </c>
      <c r="N83" s="1">
        <f t="shared" si="2"/>
        <v>4007</v>
      </c>
    </row>
    <row r="84" ht="16.5" spans="1:14">
      <c r="A84" s="1">
        <f t="shared" si="0"/>
        <v>91308</v>
      </c>
      <c r="B84" s="1">
        <v>4</v>
      </c>
      <c r="C84" s="1" t="s">
        <v>144</v>
      </c>
      <c r="D84" s="1" t="s">
        <v>145</v>
      </c>
      <c r="E84" s="1" t="s">
        <v>146</v>
      </c>
      <c r="F84" s="1">
        <f t="shared" si="1"/>
        <v>3</v>
      </c>
      <c r="G84" s="1" t="s">
        <v>83</v>
      </c>
      <c r="H84" s="1">
        <v>10000</v>
      </c>
      <c r="I84" s="1">
        <v>10000</v>
      </c>
      <c r="J84" s="1" t="s">
        <v>84</v>
      </c>
      <c r="K84" s="1" t="s">
        <v>73</v>
      </c>
      <c r="L84" s="1">
        <v>589</v>
      </c>
      <c r="M84" s="1">
        <v>1</v>
      </c>
      <c r="N84" s="1">
        <f t="shared" si="2"/>
        <v>4008</v>
      </c>
    </row>
    <row r="85" ht="16.5" spans="1:14">
      <c r="A85" s="1">
        <f t="shared" si="0"/>
        <v>91309</v>
      </c>
      <c r="B85" s="2">
        <v>2</v>
      </c>
      <c r="C85" s="1" t="s">
        <v>147</v>
      </c>
      <c r="D85" s="1" t="s">
        <v>148</v>
      </c>
      <c r="E85" s="1" t="s">
        <v>149</v>
      </c>
      <c r="F85" s="1">
        <f t="shared" si="1"/>
        <v>3</v>
      </c>
      <c r="G85" s="1" t="s">
        <v>76</v>
      </c>
      <c r="H85" s="1">
        <v>10000</v>
      </c>
      <c r="I85" s="1">
        <v>2000</v>
      </c>
      <c r="J85" s="1" t="s">
        <v>77</v>
      </c>
      <c r="K85" s="1" t="s">
        <v>73</v>
      </c>
      <c r="L85" s="1">
        <v>883</v>
      </c>
      <c r="M85" s="1">
        <v>1</v>
      </c>
      <c r="N85" s="1">
        <f t="shared" si="2"/>
        <v>4009</v>
      </c>
    </row>
    <row r="86" ht="16.5" spans="1:14">
      <c r="A86" s="1">
        <f t="shared" si="0"/>
        <v>91310</v>
      </c>
      <c r="B86" s="1">
        <v>3</v>
      </c>
      <c r="C86" s="1" t="s">
        <v>147</v>
      </c>
      <c r="D86" s="1" t="s">
        <v>148</v>
      </c>
      <c r="E86" s="1" t="s">
        <v>149</v>
      </c>
      <c r="F86" s="1">
        <f t="shared" si="1"/>
        <v>3</v>
      </c>
      <c r="G86" s="1" t="s">
        <v>78</v>
      </c>
      <c r="H86" s="1">
        <v>10000</v>
      </c>
      <c r="I86" s="1">
        <v>5000</v>
      </c>
      <c r="J86" s="1" t="s">
        <v>79</v>
      </c>
      <c r="K86" s="1" t="s">
        <v>73</v>
      </c>
      <c r="L86" s="1">
        <v>1324</v>
      </c>
      <c r="M86" s="1">
        <v>1</v>
      </c>
      <c r="N86" s="1">
        <f t="shared" si="2"/>
        <v>4010</v>
      </c>
    </row>
    <row r="87" ht="16.5" spans="1:14">
      <c r="A87" s="1">
        <f t="shared" si="0"/>
        <v>91311</v>
      </c>
      <c r="B87" s="1">
        <v>4</v>
      </c>
      <c r="C87" s="1" t="s">
        <v>147</v>
      </c>
      <c r="D87" s="1" t="s">
        <v>148</v>
      </c>
      <c r="E87" s="1" t="s">
        <v>149</v>
      </c>
      <c r="F87" s="1">
        <f t="shared" si="1"/>
        <v>3</v>
      </c>
      <c r="G87" s="1" t="s">
        <v>83</v>
      </c>
      <c r="H87" s="1">
        <v>10000</v>
      </c>
      <c r="I87" s="1">
        <v>10000</v>
      </c>
      <c r="J87" s="1" t="s">
        <v>84</v>
      </c>
      <c r="K87" s="1" t="s">
        <v>73</v>
      </c>
      <c r="L87" s="1">
        <v>1986</v>
      </c>
      <c r="M87" s="1">
        <v>1</v>
      </c>
      <c r="N87" s="1">
        <f t="shared" si="2"/>
        <v>4011</v>
      </c>
    </row>
    <row r="88" ht="16.5" spans="1:14">
      <c r="A88" s="1">
        <f t="shared" si="0"/>
        <v>91312</v>
      </c>
      <c r="B88" s="1">
        <v>5</v>
      </c>
      <c r="C88" s="1" t="s">
        <v>147</v>
      </c>
      <c r="D88" s="1" t="s">
        <v>148</v>
      </c>
      <c r="E88" s="1" t="s">
        <v>149</v>
      </c>
      <c r="F88" s="1">
        <f t="shared" si="1"/>
        <v>3</v>
      </c>
      <c r="G88" s="1" t="s">
        <v>88</v>
      </c>
      <c r="H88" s="1">
        <v>10000</v>
      </c>
      <c r="I88" s="1">
        <v>10000</v>
      </c>
      <c r="J88" s="1" t="s">
        <v>89</v>
      </c>
      <c r="K88" s="1" t="s">
        <v>73</v>
      </c>
      <c r="L88" s="1">
        <v>2979</v>
      </c>
      <c r="M88" s="1">
        <v>1</v>
      </c>
      <c r="N88" s="1">
        <f t="shared" si="2"/>
        <v>4012</v>
      </c>
    </row>
    <row r="89" ht="16.5" spans="1:14">
      <c r="A89" s="1">
        <f t="shared" si="0"/>
        <v>91313</v>
      </c>
      <c r="B89" s="2">
        <v>3</v>
      </c>
      <c r="C89" s="1" t="s">
        <v>150</v>
      </c>
      <c r="D89" s="1" t="s">
        <v>151</v>
      </c>
      <c r="E89" s="1" t="s">
        <v>152</v>
      </c>
      <c r="F89" s="1">
        <f t="shared" si="1"/>
        <v>3</v>
      </c>
      <c r="G89" s="1" t="s">
        <v>78</v>
      </c>
      <c r="H89" s="1">
        <v>10000</v>
      </c>
      <c r="I89" s="1">
        <v>5000</v>
      </c>
      <c r="J89" s="1" t="s">
        <v>79</v>
      </c>
      <c r="K89" s="1" t="s">
        <v>73</v>
      </c>
      <c r="L89" s="1">
        <v>35</v>
      </c>
      <c r="M89" s="1">
        <v>1</v>
      </c>
      <c r="N89" s="1">
        <f t="shared" si="2"/>
        <v>4013</v>
      </c>
    </row>
    <row r="90" ht="16.5" spans="1:14">
      <c r="A90" s="1">
        <f t="shared" si="0"/>
        <v>91314</v>
      </c>
      <c r="B90" s="1">
        <v>4</v>
      </c>
      <c r="C90" s="1" t="s">
        <v>150</v>
      </c>
      <c r="D90" s="1" t="s">
        <v>151</v>
      </c>
      <c r="E90" s="1" t="s">
        <v>152</v>
      </c>
      <c r="F90" s="1">
        <f t="shared" si="1"/>
        <v>3</v>
      </c>
      <c r="G90" s="1" t="s">
        <v>83</v>
      </c>
      <c r="H90" s="1">
        <v>10000</v>
      </c>
      <c r="I90" s="1">
        <v>10000</v>
      </c>
      <c r="J90" s="1" t="s">
        <v>84</v>
      </c>
      <c r="K90" s="1" t="s">
        <v>73</v>
      </c>
      <c r="L90" s="1">
        <v>52</v>
      </c>
      <c r="M90" s="1">
        <v>1</v>
      </c>
      <c r="N90" s="1">
        <f t="shared" si="2"/>
        <v>4014</v>
      </c>
    </row>
    <row r="91" ht="16.5" spans="1:14">
      <c r="A91" s="1">
        <f t="shared" si="0"/>
        <v>91315</v>
      </c>
      <c r="B91" s="1">
        <v>5</v>
      </c>
      <c r="C91" s="1" t="s">
        <v>150</v>
      </c>
      <c r="D91" s="1" t="s">
        <v>151</v>
      </c>
      <c r="E91" s="1" t="s">
        <v>152</v>
      </c>
      <c r="F91" s="1">
        <f t="shared" si="1"/>
        <v>3</v>
      </c>
      <c r="G91" s="1" t="s">
        <v>88</v>
      </c>
      <c r="H91" s="1">
        <v>10000</v>
      </c>
      <c r="I91" s="1">
        <v>10000</v>
      </c>
      <c r="J91" s="1" t="s">
        <v>89</v>
      </c>
      <c r="K91" s="1" t="s">
        <v>73</v>
      </c>
      <c r="L91" s="1">
        <v>78</v>
      </c>
      <c r="M91" s="1">
        <v>1</v>
      </c>
      <c r="N91" s="1">
        <f t="shared" si="2"/>
        <v>4015</v>
      </c>
    </row>
    <row r="92" ht="16.5" spans="1:14">
      <c r="A92" s="1">
        <f t="shared" si="0"/>
        <v>91316</v>
      </c>
      <c r="B92" s="1">
        <v>6</v>
      </c>
      <c r="C92" s="1" t="s">
        <v>150</v>
      </c>
      <c r="D92" s="1" t="s">
        <v>151</v>
      </c>
      <c r="E92" s="1" t="s">
        <v>152</v>
      </c>
      <c r="F92" s="1">
        <f t="shared" si="1"/>
        <v>3</v>
      </c>
      <c r="G92" s="1" t="s">
        <v>93</v>
      </c>
      <c r="H92" s="1">
        <v>10000</v>
      </c>
      <c r="I92" s="1">
        <v>10000</v>
      </c>
      <c r="J92" s="1" t="s">
        <v>94</v>
      </c>
      <c r="K92" s="1" t="s">
        <v>73</v>
      </c>
      <c r="L92" s="1">
        <v>117</v>
      </c>
      <c r="M92" s="1">
        <v>1</v>
      </c>
      <c r="N92" s="1">
        <f t="shared" si="2"/>
        <v>4016</v>
      </c>
    </row>
    <row r="93" ht="16.5" spans="1:14">
      <c r="A93" s="1">
        <f t="shared" ref="A93:A156" si="3">A69+100</f>
        <v>91317</v>
      </c>
      <c r="B93" s="2">
        <v>4</v>
      </c>
      <c r="C93" s="1" t="s">
        <v>153</v>
      </c>
      <c r="D93" s="1" t="s">
        <v>154</v>
      </c>
      <c r="E93" s="1" t="s">
        <v>155</v>
      </c>
      <c r="F93" s="1">
        <f t="shared" ref="F93:F156" si="4">F69+1</f>
        <v>3</v>
      </c>
      <c r="G93" s="1" t="s">
        <v>83</v>
      </c>
      <c r="H93" s="1">
        <v>10000</v>
      </c>
      <c r="I93" s="1">
        <v>10000</v>
      </c>
      <c r="J93" s="1" t="s">
        <v>84</v>
      </c>
      <c r="K93" s="1" t="s">
        <v>73</v>
      </c>
      <c r="L93" s="1">
        <v>175</v>
      </c>
      <c r="M93" s="1">
        <v>1</v>
      </c>
      <c r="N93" s="1">
        <f t="shared" ref="N93:N156" si="5">N69+1000</f>
        <v>4017</v>
      </c>
    </row>
    <row r="94" ht="16.5" spans="1:14">
      <c r="A94" s="1">
        <f t="shared" si="3"/>
        <v>91318</v>
      </c>
      <c r="B94" s="1">
        <v>5</v>
      </c>
      <c r="C94" s="1" t="s">
        <v>153</v>
      </c>
      <c r="D94" s="1" t="s">
        <v>154</v>
      </c>
      <c r="E94" s="1" t="s">
        <v>155</v>
      </c>
      <c r="F94" s="1">
        <f t="shared" si="4"/>
        <v>3</v>
      </c>
      <c r="G94" s="1" t="s">
        <v>88</v>
      </c>
      <c r="H94" s="1">
        <v>10000</v>
      </c>
      <c r="I94" s="1">
        <v>10000</v>
      </c>
      <c r="J94" s="1" t="s">
        <v>89</v>
      </c>
      <c r="K94" s="1" t="s">
        <v>73</v>
      </c>
      <c r="L94" s="1">
        <v>262</v>
      </c>
      <c r="M94" s="1">
        <v>1</v>
      </c>
      <c r="N94" s="1">
        <f t="shared" si="5"/>
        <v>4018</v>
      </c>
    </row>
    <row r="95" ht="16.5" spans="1:14">
      <c r="A95" s="1">
        <f t="shared" si="3"/>
        <v>91319</v>
      </c>
      <c r="B95" s="1">
        <v>6</v>
      </c>
      <c r="C95" s="1" t="s">
        <v>153</v>
      </c>
      <c r="D95" s="1" t="s">
        <v>154</v>
      </c>
      <c r="E95" s="1" t="s">
        <v>155</v>
      </c>
      <c r="F95" s="1">
        <f t="shared" si="4"/>
        <v>3</v>
      </c>
      <c r="G95" s="1" t="s">
        <v>93</v>
      </c>
      <c r="H95" s="1">
        <v>10000</v>
      </c>
      <c r="I95" s="1">
        <v>10000</v>
      </c>
      <c r="J95" s="1" t="s">
        <v>94</v>
      </c>
      <c r="K95" s="1" t="s">
        <v>73</v>
      </c>
      <c r="L95" s="1">
        <v>393</v>
      </c>
      <c r="M95" s="1">
        <v>1</v>
      </c>
      <c r="N95" s="1">
        <f t="shared" si="5"/>
        <v>4019</v>
      </c>
    </row>
    <row r="96" ht="16.5" spans="1:14">
      <c r="A96" s="1">
        <f t="shared" si="3"/>
        <v>91320</v>
      </c>
      <c r="B96" s="1">
        <v>7</v>
      </c>
      <c r="C96" s="1" t="s">
        <v>153</v>
      </c>
      <c r="D96" s="1" t="s">
        <v>154</v>
      </c>
      <c r="E96" s="1" t="s">
        <v>155</v>
      </c>
      <c r="F96" s="1">
        <f t="shared" si="4"/>
        <v>3</v>
      </c>
      <c r="G96" s="1" t="s">
        <v>98</v>
      </c>
      <c r="H96" s="1">
        <v>10000</v>
      </c>
      <c r="I96" s="1">
        <v>10000</v>
      </c>
      <c r="J96" s="1" t="s">
        <v>99</v>
      </c>
      <c r="K96" s="1" t="s">
        <v>73</v>
      </c>
      <c r="L96" s="1">
        <v>589</v>
      </c>
      <c r="M96" s="1">
        <v>1</v>
      </c>
      <c r="N96" s="1">
        <f t="shared" si="5"/>
        <v>4020</v>
      </c>
    </row>
    <row r="97" ht="16.5" spans="1:14">
      <c r="A97" s="1">
        <f t="shared" si="3"/>
        <v>91321</v>
      </c>
      <c r="B97" s="2">
        <v>5</v>
      </c>
      <c r="C97" s="1" t="s">
        <v>156</v>
      </c>
      <c r="D97" s="1" t="s">
        <v>157</v>
      </c>
      <c r="E97" s="1" t="s">
        <v>158</v>
      </c>
      <c r="F97" s="1">
        <f t="shared" si="4"/>
        <v>3</v>
      </c>
      <c r="G97" s="1" t="s">
        <v>88</v>
      </c>
      <c r="H97" s="1">
        <v>10000</v>
      </c>
      <c r="I97" s="1">
        <v>10000</v>
      </c>
      <c r="J97" s="1" t="s">
        <v>89</v>
      </c>
      <c r="K97" s="1" t="s">
        <v>73</v>
      </c>
      <c r="L97" s="1">
        <v>883</v>
      </c>
      <c r="M97" s="1">
        <v>1</v>
      </c>
      <c r="N97" s="1">
        <f t="shared" si="5"/>
        <v>4021</v>
      </c>
    </row>
    <row r="98" ht="16.5" spans="1:14">
      <c r="A98" s="1">
        <f t="shared" si="3"/>
        <v>91322</v>
      </c>
      <c r="B98" s="1">
        <v>6</v>
      </c>
      <c r="C98" s="1" t="s">
        <v>156</v>
      </c>
      <c r="D98" s="1" t="s">
        <v>157</v>
      </c>
      <c r="E98" s="1" t="s">
        <v>158</v>
      </c>
      <c r="F98" s="1">
        <f t="shared" si="4"/>
        <v>3</v>
      </c>
      <c r="G98" s="1" t="s">
        <v>93</v>
      </c>
      <c r="H98" s="1">
        <v>10000</v>
      </c>
      <c r="I98" s="1">
        <v>10000</v>
      </c>
      <c r="J98" s="1" t="s">
        <v>94</v>
      </c>
      <c r="K98" s="1" t="s">
        <v>73</v>
      </c>
      <c r="L98" s="1">
        <v>1324</v>
      </c>
      <c r="M98" s="1">
        <v>1</v>
      </c>
      <c r="N98" s="1">
        <f t="shared" si="5"/>
        <v>4022</v>
      </c>
    </row>
    <row r="99" ht="16.5" spans="1:14">
      <c r="A99" s="1">
        <f t="shared" si="3"/>
        <v>91323</v>
      </c>
      <c r="B99" s="1">
        <v>7</v>
      </c>
      <c r="C99" s="1" t="s">
        <v>156</v>
      </c>
      <c r="D99" s="1" t="s">
        <v>157</v>
      </c>
      <c r="E99" s="1" t="s">
        <v>158</v>
      </c>
      <c r="F99" s="1">
        <f t="shared" si="4"/>
        <v>3</v>
      </c>
      <c r="G99" s="1" t="s">
        <v>98</v>
      </c>
      <c r="H99" s="1">
        <v>10000</v>
      </c>
      <c r="I99" s="1">
        <v>10000</v>
      </c>
      <c r="J99" s="1" t="s">
        <v>99</v>
      </c>
      <c r="K99" s="1" t="s">
        <v>73</v>
      </c>
      <c r="L99" s="1">
        <v>1986</v>
      </c>
      <c r="M99" s="1">
        <v>1</v>
      </c>
      <c r="N99" s="1">
        <f t="shared" si="5"/>
        <v>4023</v>
      </c>
    </row>
    <row r="100" ht="16.5" spans="1:14">
      <c r="A100" s="1">
        <f t="shared" si="3"/>
        <v>91324</v>
      </c>
      <c r="B100" s="1">
        <v>8</v>
      </c>
      <c r="C100" s="1" t="s">
        <v>156</v>
      </c>
      <c r="D100" s="1" t="s">
        <v>157</v>
      </c>
      <c r="E100" s="1" t="s">
        <v>158</v>
      </c>
      <c r="F100" s="1">
        <f t="shared" si="4"/>
        <v>3</v>
      </c>
      <c r="G100" s="1" t="s">
        <v>103</v>
      </c>
      <c r="H100" s="1">
        <v>10000</v>
      </c>
      <c r="I100" s="1">
        <v>10000</v>
      </c>
      <c r="J100" s="1" t="s">
        <v>104</v>
      </c>
      <c r="K100" s="1" t="s">
        <v>73</v>
      </c>
      <c r="L100" s="1">
        <v>2979</v>
      </c>
      <c r="M100" s="1">
        <v>1</v>
      </c>
      <c r="N100" s="1">
        <f t="shared" si="5"/>
        <v>4024</v>
      </c>
    </row>
    <row r="101" ht="16.5" spans="1:14">
      <c r="A101" s="1">
        <f t="shared" si="3"/>
        <v>91401</v>
      </c>
      <c r="B101" s="2">
        <v>0</v>
      </c>
      <c r="C101" s="1" t="s">
        <v>159</v>
      </c>
      <c r="D101" s="1" t="s">
        <v>160</v>
      </c>
      <c r="E101" s="1" t="s">
        <v>161</v>
      </c>
      <c r="F101" s="1">
        <f t="shared" si="4"/>
        <v>4</v>
      </c>
      <c r="G101" s="1" t="s">
        <v>71</v>
      </c>
      <c r="H101" s="1">
        <v>0</v>
      </c>
      <c r="I101" s="1">
        <v>0</v>
      </c>
      <c r="J101" s="1" t="s">
        <v>72</v>
      </c>
      <c r="K101" s="1" t="s">
        <v>73</v>
      </c>
      <c r="L101" s="1">
        <v>35</v>
      </c>
      <c r="M101" s="1">
        <v>1</v>
      </c>
      <c r="N101" s="1">
        <f t="shared" si="5"/>
        <v>5001</v>
      </c>
    </row>
    <row r="102" ht="16.5" spans="1:14">
      <c r="A102" s="1">
        <f t="shared" si="3"/>
        <v>91402</v>
      </c>
      <c r="B102" s="1">
        <v>1</v>
      </c>
      <c r="C102" s="1" t="s">
        <v>159</v>
      </c>
      <c r="D102" s="1" t="s">
        <v>160</v>
      </c>
      <c r="E102" s="1" t="s">
        <v>161</v>
      </c>
      <c r="F102" s="1">
        <f t="shared" si="4"/>
        <v>4</v>
      </c>
      <c r="G102" s="1" t="s">
        <v>74</v>
      </c>
      <c r="H102" s="1">
        <v>3000</v>
      </c>
      <c r="I102" s="1">
        <v>0</v>
      </c>
      <c r="J102" s="1" t="s">
        <v>75</v>
      </c>
      <c r="K102" s="1" t="s">
        <v>73</v>
      </c>
      <c r="L102" s="1">
        <v>52</v>
      </c>
      <c r="M102" s="1">
        <v>1</v>
      </c>
      <c r="N102" s="1">
        <f t="shared" si="5"/>
        <v>5002</v>
      </c>
    </row>
    <row r="103" ht="16.5" spans="1:14">
      <c r="A103" s="1">
        <f t="shared" si="3"/>
        <v>91403</v>
      </c>
      <c r="B103" s="1">
        <v>2</v>
      </c>
      <c r="C103" s="1" t="s">
        <v>159</v>
      </c>
      <c r="D103" s="1" t="s">
        <v>160</v>
      </c>
      <c r="E103" s="1" t="s">
        <v>161</v>
      </c>
      <c r="F103" s="1">
        <f t="shared" si="4"/>
        <v>4</v>
      </c>
      <c r="G103" s="1" t="s">
        <v>76</v>
      </c>
      <c r="H103" s="1">
        <v>6000</v>
      </c>
      <c r="I103" s="1">
        <v>0</v>
      </c>
      <c r="J103" s="1" t="s">
        <v>77</v>
      </c>
      <c r="K103" s="1" t="s">
        <v>73</v>
      </c>
      <c r="L103" s="1">
        <v>78</v>
      </c>
      <c r="M103" s="1">
        <v>1</v>
      </c>
      <c r="N103" s="1">
        <f t="shared" si="5"/>
        <v>5003</v>
      </c>
    </row>
    <row r="104" ht="16.5" spans="1:14">
      <c r="A104" s="1">
        <f t="shared" si="3"/>
        <v>91404</v>
      </c>
      <c r="B104" s="1">
        <v>3</v>
      </c>
      <c r="C104" s="1" t="s">
        <v>159</v>
      </c>
      <c r="D104" s="1" t="s">
        <v>160</v>
      </c>
      <c r="E104" s="1" t="s">
        <v>161</v>
      </c>
      <c r="F104" s="1">
        <f t="shared" si="4"/>
        <v>4</v>
      </c>
      <c r="G104" s="1" t="s">
        <v>78</v>
      </c>
      <c r="H104" s="1">
        <v>10000</v>
      </c>
      <c r="I104" s="1">
        <v>2000</v>
      </c>
      <c r="J104" s="1" t="s">
        <v>79</v>
      </c>
      <c r="K104" s="1" t="s">
        <v>73</v>
      </c>
      <c r="L104" s="1">
        <v>117</v>
      </c>
      <c r="M104" s="1">
        <v>1</v>
      </c>
      <c r="N104" s="1">
        <f t="shared" si="5"/>
        <v>5004</v>
      </c>
    </row>
    <row r="105" ht="16.5" spans="1:14">
      <c r="A105" s="1">
        <f t="shared" si="3"/>
        <v>91405</v>
      </c>
      <c r="B105" s="2">
        <v>1</v>
      </c>
      <c r="C105" s="1" t="s">
        <v>162</v>
      </c>
      <c r="D105" s="1" t="s">
        <v>163</v>
      </c>
      <c r="E105" s="1" t="s">
        <v>164</v>
      </c>
      <c r="F105" s="1">
        <f t="shared" si="4"/>
        <v>4</v>
      </c>
      <c r="G105" s="1" t="s">
        <v>74</v>
      </c>
      <c r="H105" s="1">
        <v>6000</v>
      </c>
      <c r="I105" s="1">
        <v>0</v>
      </c>
      <c r="J105" s="1" t="s">
        <v>75</v>
      </c>
      <c r="K105" s="1" t="s">
        <v>73</v>
      </c>
      <c r="L105" s="1">
        <v>175</v>
      </c>
      <c r="M105" s="1">
        <v>1</v>
      </c>
      <c r="N105" s="1">
        <f t="shared" si="5"/>
        <v>5005</v>
      </c>
    </row>
    <row r="106" ht="16.5" spans="1:14">
      <c r="A106" s="1">
        <f t="shared" si="3"/>
        <v>91406</v>
      </c>
      <c r="B106" s="1">
        <v>2</v>
      </c>
      <c r="C106" s="1" t="s">
        <v>162</v>
      </c>
      <c r="D106" s="1" t="s">
        <v>163</v>
      </c>
      <c r="E106" s="1" t="s">
        <v>164</v>
      </c>
      <c r="F106" s="1">
        <f t="shared" si="4"/>
        <v>4</v>
      </c>
      <c r="G106" s="1" t="s">
        <v>76</v>
      </c>
      <c r="H106" s="1">
        <v>10000</v>
      </c>
      <c r="I106" s="1">
        <v>2000</v>
      </c>
      <c r="J106" s="1" t="s">
        <v>77</v>
      </c>
      <c r="K106" s="1" t="s">
        <v>73</v>
      </c>
      <c r="L106" s="1">
        <v>262</v>
      </c>
      <c r="M106" s="1">
        <v>1</v>
      </c>
      <c r="N106" s="1">
        <f t="shared" si="5"/>
        <v>5006</v>
      </c>
    </row>
    <row r="107" ht="16.5" spans="1:14">
      <c r="A107" s="1">
        <f t="shared" si="3"/>
        <v>91407</v>
      </c>
      <c r="B107" s="1">
        <v>3</v>
      </c>
      <c r="C107" s="1" t="s">
        <v>162</v>
      </c>
      <c r="D107" s="1" t="s">
        <v>163</v>
      </c>
      <c r="E107" s="1" t="s">
        <v>164</v>
      </c>
      <c r="F107" s="1">
        <f t="shared" si="4"/>
        <v>4</v>
      </c>
      <c r="G107" s="1" t="s">
        <v>78</v>
      </c>
      <c r="H107" s="1">
        <v>10000</v>
      </c>
      <c r="I107" s="1">
        <v>5000</v>
      </c>
      <c r="J107" s="1" t="s">
        <v>79</v>
      </c>
      <c r="K107" s="1" t="s">
        <v>73</v>
      </c>
      <c r="L107" s="1">
        <v>393</v>
      </c>
      <c r="M107" s="1">
        <v>1</v>
      </c>
      <c r="N107" s="1">
        <f t="shared" si="5"/>
        <v>5007</v>
      </c>
    </row>
    <row r="108" ht="16.5" spans="1:14">
      <c r="A108" s="1">
        <f t="shared" si="3"/>
        <v>91408</v>
      </c>
      <c r="B108" s="1">
        <v>4</v>
      </c>
      <c r="C108" s="1" t="s">
        <v>162</v>
      </c>
      <c r="D108" s="1" t="s">
        <v>163</v>
      </c>
      <c r="E108" s="1" t="s">
        <v>164</v>
      </c>
      <c r="F108" s="1">
        <f t="shared" si="4"/>
        <v>4</v>
      </c>
      <c r="G108" s="1" t="s">
        <v>83</v>
      </c>
      <c r="H108" s="1">
        <v>10000</v>
      </c>
      <c r="I108" s="1">
        <v>10000</v>
      </c>
      <c r="J108" s="1" t="s">
        <v>84</v>
      </c>
      <c r="K108" s="1" t="s">
        <v>73</v>
      </c>
      <c r="L108" s="1">
        <v>589</v>
      </c>
      <c r="M108" s="1">
        <v>1</v>
      </c>
      <c r="N108" s="1">
        <f t="shared" si="5"/>
        <v>5008</v>
      </c>
    </row>
    <row r="109" ht="16.5" spans="1:14">
      <c r="A109" s="1">
        <f t="shared" si="3"/>
        <v>91409</v>
      </c>
      <c r="B109" s="2">
        <v>2</v>
      </c>
      <c r="C109" s="1" t="s">
        <v>165</v>
      </c>
      <c r="D109" s="1" t="s">
        <v>166</v>
      </c>
      <c r="E109" s="1" t="s">
        <v>167</v>
      </c>
      <c r="F109" s="1">
        <f t="shared" si="4"/>
        <v>4</v>
      </c>
      <c r="G109" s="1" t="s">
        <v>76</v>
      </c>
      <c r="H109" s="1">
        <v>10000</v>
      </c>
      <c r="I109" s="1">
        <v>2000</v>
      </c>
      <c r="J109" s="1" t="s">
        <v>77</v>
      </c>
      <c r="K109" s="1" t="s">
        <v>73</v>
      </c>
      <c r="L109" s="1">
        <v>883</v>
      </c>
      <c r="M109" s="1">
        <v>1</v>
      </c>
      <c r="N109" s="1">
        <f t="shared" si="5"/>
        <v>5009</v>
      </c>
    </row>
    <row r="110" ht="16.5" spans="1:14">
      <c r="A110" s="1">
        <f t="shared" si="3"/>
        <v>91410</v>
      </c>
      <c r="B110" s="1">
        <v>3</v>
      </c>
      <c r="C110" s="1" t="s">
        <v>165</v>
      </c>
      <c r="D110" s="1" t="s">
        <v>166</v>
      </c>
      <c r="E110" s="1" t="s">
        <v>167</v>
      </c>
      <c r="F110" s="1">
        <f t="shared" si="4"/>
        <v>4</v>
      </c>
      <c r="G110" s="1" t="s">
        <v>78</v>
      </c>
      <c r="H110" s="1">
        <v>10000</v>
      </c>
      <c r="I110" s="1">
        <v>5000</v>
      </c>
      <c r="J110" s="1" t="s">
        <v>79</v>
      </c>
      <c r="K110" s="1" t="s">
        <v>73</v>
      </c>
      <c r="L110" s="1">
        <v>1324</v>
      </c>
      <c r="M110" s="1">
        <v>1</v>
      </c>
      <c r="N110" s="1">
        <f t="shared" si="5"/>
        <v>5010</v>
      </c>
    </row>
    <row r="111" ht="16.5" spans="1:14">
      <c r="A111" s="1">
        <f t="shared" si="3"/>
        <v>91411</v>
      </c>
      <c r="B111" s="1">
        <v>4</v>
      </c>
      <c r="C111" s="1" t="s">
        <v>165</v>
      </c>
      <c r="D111" s="1" t="s">
        <v>166</v>
      </c>
      <c r="E111" s="1" t="s">
        <v>167</v>
      </c>
      <c r="F111" s="1">
        <f t="shared" si="4"/>
        <v>4</v>
      </c>
      <c r="G111" s="1" t="s">
        <v>83</v>
      </c>
      <c r="H111" s="1">
        <v>10000</v>
      </c>
      <c r="I111" s="1">
        <v>10000</v>
      </c>
      <c r="J111" s="1" t="s">
        <v>84</v>
      </c>
      <c r="K111" s="1" t="s">
        <v>73</v>
      </c>
      <c r="L111" s="1">
        <v>1986</v>
      </c>
      <c r="M111" s="1">
        <v>1</v>
      </c>
      <c r="N111" s="1">
        <f t="shared" si="5"/>
        <v>5011</v>
      </c>
    </row>
    <row r="112" ht="16.5" spans="1:14">
      <c r="A112" s="1">
        <f t="shared" si="3"/>
        <v>91412</v>
      </c>
      <c r="B112" s="1">
        <v>5</v>
      </c>
      <c r="C112" s="1" t="s">
        <v>165</v>
      </c>
      <c r="D112" s="1" t="s">
        <v>166</v>
      </c>
      <c r="E112" s="1" t="s">
        <v>167</v>
      </c>
      <c r="F112" s="1">
        <f t="shared" si="4"/>
        <v>4</v>
      </c>
      <c r="G112" s="1" t="s">
        <v>88</v>
      </c>
      <c r="H112" s="1">
        <v>10000</v>
      </c>
      <c r="I112" s="1">
        <v>10000</v>
      </c>
      <c r="J112" s="1" t="s">
        <v>89</v>
      </c>
      <c r="K112" s="1" t="s">
        <v>73</v>
      </c>
      <c r="L112" s="1">
        <v>2979</v>
      </c>
      <c r="M112" s="1">
        <v>1</v>
      </c>
      <c r="N112" s="1">
        <f t="shared" si="5"/>
        <v>5012</v>
      </c>
    </row>
    <row r="113" ht="16.5" spans="1:14">
      <c r="A113" s="1">
        <f t="shared" si="3"/>
        <v>91413</v>
      </c>
      <c r="B113" s="2">
        <v>3</v>
      </c>
      <c r="C113" s="1" t="s">
        <v>168</v>
      </c>
      <c r="D113" s="1" t="s">
        <v>169</v>
      </c>
      <c r="E113" s="1" t="s">
        <v>170</v>
      </c>
      <c r="F113" s="1">
        <f t="shared" si="4"/>
        <v>4</v>
      </c>
      <c r="G113" s="1" t="s">
        <v>78</v>
      </c>
      <c r="H113" s="1">
        <v>10000</v>
      </c>
      <c r="I113" s="1">
        <v>5000</v>
      </c>
      <c r="J113" s="1" t="s">
        <v>79</v>
      </c>
      <c r="K113" s="1" t="s">
        <v>73</v>
      </c>
      <c r="L113" s="1">
        <v>35</v>
      </c>
      <c r="M113" s="1">
        <v>1</v>
      </c>
      <c r="N113" s="1">
        <f t="shared" si="5"/>
        <v>5013</v>
      </c>
    </row>
    <row r="114" ht="16.5" spans="1:14">
      <c r="A114" s="1">
        <f t="shared" si="3"/>
        <v>91414</v>
      </c>
      <c r="B114" s="1">
        <v>4</v>
      </c>
      <c r="C114" s="1" t="s">
        <v>168</v>
      </c>
      <c r="D114" s="1" t="s">
        <v>169</v>
      </c>
      <c r="E114" s="1" t="s">
        <v>170</v>
      </c>
      <c r="F114" s="1">
        <f t="shared" si="4"/>
        <v>4</v>
      </c>
      <c r="G114" s="1" t="s">
        <v>83</v>
      </c>
      <c r="H114" s="1">
        <v>10000</v>
      </c>
      <c r="I114" s="1">
        <v>10000</v>
      </c>
      <c r="J114" s="1" t="s">
        <v>84</v>
      </c>
      <c r="K114" s="1" t="s">
        <v>73</v>
      </c>
      <c r="L114" s="1">
        <v>52</v>
      </c>
      <c r="M114" s="1">
        <v>1</v>
      </c>
      <c r="N114" s="1">
        <f t="shared" si="5"/>
        <v>5014</v>
      </c>
    </row>
    <row r="115" ht="16.5" spans="1:14">
      <c r="A115" s="1">
        <f t="shared" si="3"/>
        <v>91415</v>
      </c>
      <c r="B115" s="1">
        <v>5</v>
      </c>
      <c r="C115" s="1" t="s">
        <v>168</v>
      </c>
      <c r="D115" s="1" t="s">
        <v>169</v>
      </c>
      <c r="E115" s="1" t="s">
        <v>170</v>
      </c>
      <c r="F115" s="1">
        <f t="shared" si="4"/>
        <v>4</v>
      </c>
      <c r="G115" s="1" t="s">
        <v>88</v>
      </c>
      <c r="H115" s="1">
        <v>10000</v>
      </c>
      <c r="I115" s="1">
        <v>10000</v>
      </c>
      <c r="J115" s="1" t="s">
        <v>89</v>
      </c>
      <c r="K115" s="1" t="s">
        <v>73</v>
      </c>
      <c r="L115" s="1">
        <v>78</v>
      </c>
      <c r="M115" s="1">
        <v>1</v>
      </c>
      <c r="N115" s="1">
        <f t="shared" si="5"/>
        <v>5015</v>
      </c>
    </row>
    <row r="116" ht="16.5" spans="1:14">
      <c r="A116" s="1">
        <f t="shared" si="3"/>
        <v>91416</v>
      </c>
      <c r="B116" s="1">
        <v>6</v>
      </c>
      <c r="C116" s="1" t="s">
        <v>168</v>
      </c>
      <c r="D116" s="1" t="s">
        <v>169</v>
      </c>
      <c r="E116" s="1" t="s">
        <v>170</v>
      </c>
      <c r="F116" s="1">
        <f t="shared" si="4"/>
        <v>4</v>
      </c>
      <c r="G116" s="1" t="s">
        <v>93</v>
      </c>
      <c r="H116" s="1">
        <v>10000</v>
      </c>
      <c r="I116" s="1">
        <v>10000</v>
      </c>
      <c r="J116" s="1" t="s">
        <v>94</v>
      </c>
      <c r="K116" s="1" t="s">
        <v>73</v>
      </c>
      <c r="L116" s="1">
        <v>117</v>
      </c>
      <c r="M116" s="1">
        <v>1</v>
      </c>
      <c r="N116" s="1">
        <f t="shared" si="5"/>
        <v>5016</v>
      </c>
    </row>
    <row r="117" ht="16.5" spans="1:14">
      <c r="A117" s="1">
        <f t="shared" si="3"/>
        <v>91417</v>
      </c>
      <c r="B117" s="2">
        <v>4</v>
      </c>
      <c r="C117" s="1" t="s">
        <v>171</v>
      </c>
      <c r="D117" s="1" t="s">
        <v>172</v>
      </c>
      <c r="E117" s="1" t="s">
        <v>173</v>
      </c>
      <c r="F117" s="1">
        <f t="shared" si="4"/>
        <v>4</v>
      </c>
      <c r="G117" s="1" t="s">
        <v>83</v>
      </c>
      <c r="H117" s="1">
        <v>10000</v>
      </c>
      <c r="I117" s="1">
        <v>10000</v>
      </c>
      <c r="J117" s="1" t="s">
        <v>84</v>
      </c>
      <c r="K117" s="1" t="s">
        <v>73</v>
      </c>
      <c r="L117" s="1">
        <v>175</v>
      </c>
      <c r="M117" s="1">
        <v>1</v>
      </c>
      <c r="N117" s="1">
        <f t="shared" si="5"/>
        <v>5017</v>
      </c>
    </row>
    <row r="118" ht="16.5" spans="1:14">
      <c r="A118" s="1">
        <f t="shared" si="3"/>
        <v>91418</v>
      </c>
      <c r="B118" s="1">
        <v>5</v>
      </c>
      <c r="C118" s="1" t="s">
        <v>171</v>
      </c>
      <c r="D118" s="1" t="s">
        <v>172</v>
      </c>
      <c r="E118" s="1" t="s">
        <v>173</v>
      </c>
      <c r="F118" s="1">
        <f t="shared" si="4"/>
        <v>4</v>
      </c>
      <c r="G118" s="1" t="s">
        <v>88</v>
      </c>
      <c r="H118" s="1">
        <v>10000</v>
      </c>
      <c r="I118" s="1">
        <v>10000</v>
      </c>
      <c r="J118" s="1" t="s">
        <v>89</v>
      </c>
      <c r="K118" s="1" t="s">
        <v>73</v>
      </c>
      <c r="L118" s="1">
        <v>262</v>
      </c>
      <c r="M118" s="1">
        <v>1</v>
      </c>
      <c r="N118" s="1">
        <f t="shared" si="5"/>
        <v>5018</v>
      </c>
    </row>
    <row r="119" ht="16.5" spans="1:14">
      <c r="A119" s="1">
        <f t="shared" si="3"/>
        <v>91419</v>
      </c>
      <c r="B119" s="1">
        <v>6</v>
      </c>
      <c r="C119" s="1" t="s">
        <v>171</v>
      </c>
      <c r="D119" s="1" t="s">
        <v>172</v>
      </c>
      <c r="E119" s="1" t="s">
        <v>173</v>
      </c>
      <c r="F119" s="1">
        <f t="shared" si="4"/>
        <v>4</v>
      </c>
      <c r="G119" s="1" t="s">
        <v>93</v>
      </c>
      <c r="H119" s="1">
        <v>10000</v>
      </c>
      <c r="I119" s="1">
        <v>10000</v>
      </c>
      <c r="J119" s="1" t="s">
        <v>94</v>
      </c>
      <c r="K119" s="1" t="s">
        <v>73</v>
      </c>
      <c r="L119" s="1">
        <v>393</v>
      </c>
      <c r="M119" s="1">
        <v>1</v>
      </c>
      <c r="N119" s="1">
        <f t="shared" si="5"/>
        <v>5019</v>
      </c>
    </row>
    <row r="120" ht="16.5" spans="1:14">
      <c r="A120" s="1">
        <f t="shared" si="3"/>
        <v>91420</v>
      </c>
      <c r="B120" s="1">
        <v>7</v>
      </c>
      <c r="C120" s="1" t="s">
        <v>171</v>
      </c>
      <c r="D120" s="1" t="s">
        <v>172</v>
      </c>
      <c r="E120" s="1" t="s">
        <v>173</v>
      </c>
      <c r="F120" s="1">
        <f t="shared" si="4"/>
        <v>4</v>
      </c>
      <c r="G120" s="1" t="s">
        <v>98</v>
      </c>
      <c r="H120" s="1">
        <v>10000</v>
      </c>
      <c r="I120" s="1">
        <v>10000</v>
      </c>
      <c r="J120" s="1" t="s">
        <v>99</v>
      </c>
      <c r="K120" s="1" t="s">
        <v>73</v>
      </c>
      <c r="L120" s="1">
        <v>589</v>
      </c>
      <c r="M120" s="1">
        <v>1</v>
      </c>
      <c r="N120" s="1">
        <f t="shared" si="5"/>
        <v>5020</v>
      </c>
    </row>
    <row r="121" ht="16.5" spans="1:14">
      <c r="A121" s="1">
        <f t="shared" si="3"/>
        <v>91421</v>
      </c>
      <c r="B121" s="2">
        <v>5</v>
      </c>
      <c r="C121" s="1" t="s">
        <v>174</v>
      </c>
      <c r="D121" s="1" t="s">
        <v>175</v>
      </c>
      <c r="E121" s="1" t="s">
        <v>176</v>
      </c>
      <c r="F121" s="1">
        <f t="shared" si="4"/>
        <v>4</v>
      </c>
      <c r="G121" s="1" t="s">
        <v>88</v>
      </c>
      <c r="H121" s="1">
        <v>10000</v>
      </c>
      <c r="I121" s="1">
        <v>10000</v>
      </c>
      <c r="J121" s="1" t="s">
        <v>89</v>
      </c>
      <c r="K121" s="1" t="s">
        <v>73</v>
      </c>
      <c r="L121" s="1">
        <v>883</v>
      </c>
      <c r="M121" s="1">
        <v>1</v>
      </c>
      <c r="N121" s="1">
        <f t="shared" si="5"/>
        <v>5021</v>
      </c>
    </row>
    <row r="122" ht="16.5" spans="1:14">
      <c r="A122" s="1">
        <f t="shared" si="3"/>
        <v>91422</v>
      </c>
      <c r="B122" s="1">
        <v>6</v>
      </c>
      <c r="C122" s="1" t="s">
        <v>174</v>
      </c>
      <c r="D122" s="1" t="s">
        <v>175</v>
      </c>
      <c r="E122" s="1" t="s">
        <v>176</v>
      </c>
      <c r="F122" s="1">
        <f t="shared" si="4"/>
        <v>4</v>
      </c>
      <c r="G122" s="1" t="s">
        <v>93</v>
      </c>
      <c r="H122" s="1">
        <v>10000</v>
      </c>
      <c r="I122" s="1">
        <v>10000</v>
      </c>
      <c r="J122" s="1" t="s">
        <v>94</v>
      </c>
      <c r="K122" s="1" t="s">
        <v>73</v>
      </c>
      <c r="L122" s="1">
        <v>1324</v>
      </c>
      <c r="M122" s="1">
        <v>1</v>
      </c>
      <c r="N122" s="1">
        <f t="shared" si="5"/>
        <v>5022</v>
      </c>
    </row>
    <row r="123" ht="16.5" spans="1:14">
      <c r="A123" s="1">
        <f t="shared" si="3"/>
        <v>91423</v>
      </c>
      <c r="B123" s="1">
        <v>7</v>
      </c>
      <c r="C123" s="1" t="s">
        <v>174</v>
      </c>
      <c r="D123" s="1" t="s">
        <v>175</v>
      </c>
      <c r="E123" s="1" t="s">
        <v>176</v>
      </c>
      <c r="F123" s="1">
        <f t="shared" si="4"/>
        <v>4</v>
      </c>
      <c r="G123" s="1" t="s">
        <v>98</v>
      </c>
      <c r="H123" s="1">
        <v>10000</v>
      </c>
      <c r="I123" s="1">
        <v>10000</v>
      </c>
      <c r="J123" s="1" t="s">
        <v>99</v>
      </c>
      <c r="K123" s="1" t="s">
        <v>73</v>
      </c>
      <c r="L123" s="1">
        <v>1986</v>
      </c>
      <c r="M123" s="1">
        <v>1</v>
      </c>
      <c r="N123" s="1">
        <f t="shared" si="5"/>
        <v>5023</v>
      </c>
    </row>
    <row r="124" ht="16.5" spans="1:14">
      <c r="A124" s="1">
        <f t="shared" si="3"/>
        <v>91424</v>
      </c>
      <c r="B124" s="1">
        <v>8</v>
      </c>
      <c r="C124" s="1" t="s">
        <v>174</v>
      </c>
      <c r="D124" s="1" t="s">
        <v>175</v>
      </c>
      <c r="E124" s="1" t="s">
        <v>176</v>
      </c>
      <c r="F124" s="1">
        <f t="shared" si="4"/>
        <v>4</v>
      </c>
      <c r="G124" s="1" t="s">
        <v>103</v>
      </c>
      <c r="H124" s="1">
        <v>10000</v>
      </c>
      <c r="I124" s="1">
        <v>10000</v>
      </c>
      <c r="J124" s="1" t="s">
        <v>104</v>
      </c>
      <c r="K124" s="1" t="s">
        <v>73</v>
      </c>
      <c r="L124" s="1">
        <v>2979</v>
      </c>
      <c r="M124" s="1">
        <v>1</v>
      </c>
      <c r="N124" s="1">
        <f t="shared" si="5"/>
        <v>5024</v>
      </c>
    </row>
    <row r="125" ht="16.5" spans="1:14">
      <c r="A125" s="1">
        <f t="shared" si="3"/>
        <v>91501</v>
      </c>
      <c r="B125" s="2">
        <v>0</v>
      </c>
      <c r="C125" s="1" t="s">
        <v>177</v>
      </c>
      <c r="D125" s="1" t="s">
        <v>178</v>
      </c>
      <c r="E125" s="1" t="s">
        <v>179</v>
      </c>
      <c r="F125" s="1">
        <f t="shared" si="4"/>
        <v>5</v>
      </c>
      <c r="G125" s="1" t="s">
        <v>71</v>
      </c>
      <c r="H125" s="1">
        <v>0</v>
      </c>
      <c r="I125" s="1">
        <v>0</v>
      </c>
      <c r="J125" s="1" t="s">
        <v>72</v>
      </c>
      <c r="K125" s="1" t="s">
        <v>73</v>
      </c>
      <c r="L125" s="1">
        <v>35</v>
      </c>
      <c r="M125" s="1">
        <v>1</v>
      </c>
      <c r="N125" s="1">
        <f t="shared" si="5"/>
        <v>6001</v>
      </c>
    </row>
    <row r="126" ht="16.5" spans="1:14">
      <c r="A126" s="1">
        <f t="shared" si="3"/>
        <v>91502</v>
      </c>
      <c r="B126" s="1">
        <v>1</v>
      </c>
      <c r="C126" s="1" t="s">
        <v>177</v>
      </c>
      <c r="D126" s="1" t="s">
        <v>178</v>
      </c>
      <c r="E126" s="1" t="s">
        <v>179</v>
      </c>
      <c r="F126" s="1">
        <f t="shared" si="4"/>
        <v>5</v>
      </c>
      <c r="G126" s="1" t="s">
        <v>74</v>
      </c>
      <c r="H126" s="1">
        <v>3000</v>
      </c>
      <c r="I126" s="1">
        <v>0</v>
      </c>
      <c r="J126" s="1" t="s">
        <v>75</v>
      </c>
      <c r="K126" s="1" t="s">
        <v>73</v>
      </c>
      <c r="L126" s="1">
        <v>52</v>
      </c>
      <c r="M126" s="1">
        <v>1</v>
      </c>
      <c r="N126" s="1">
        <f t="shared" si="5"/>
        <v>6002</v>
      </c>
    </row>
    <row r="127" ht="16.5" spans="1:14">
      <c r="A127" s="1">
        <f t="shared" si="3"/>
        <v>91503</v>
      </c>
      <c r="B127" s="1">
        <v>2</v>
      </c>
      <c r="C127" s="1" t="s">
        <v>177</v>
      </c>
      <c r="D127" s="1" t="s">
        <v>178</v>
      </c>
      <c r="E127" s="1" t="s">
        <v>179</v>
      </c>
      <c r="F127" s="1">
        <f t="shared" si="4"/>
        <v>5</v>
      </c>
      <c r="G127" s="1" t="s">
        <v>76</v>
      </c>
      <c r="H127" s="1">
        <v>6000</v>
      </c>
      <c r="I127" s="1">
        <v>0</v>
      </c>
      <c r="J127" s="1" t="s">
        <v>77</v>
      </c>
      <c r="K127" s="1" t="s">
        <v>73</v>
      </c>
      <c r="L127" s="1">
        <v>78</v>
      </c>
      <c r="M127" s="1">
        <v>1</v>
      </c>
      <c r="N127" s="1">
        <f t="shared" si="5"/>
        <v>6003</v>
      </c>
    </row>
    <row r="128" ht="16.5" spans="1:14">
      <c r="A128" s="1">
        <f t="shared" si="3"/>
        <v>91504</v>
      </c>
      <c r="B128" s="1">
        <v>3</v>
      </c>
      <c r="C128" s="1" t="s">
        <v>177</v>
      </c>
      <c r="D128" s="1" t="s">
        <v>178</v>
      </c>
      <c r="E128" s="1" t="s">
        <v>179</v>
      </c>
      <c r="F128" s="1">
        <f t="shared" si="4"/>
        <v>5</v>
      </c>
      <c r="G128" s="1" t="s">
        <v>78</v>
      </c>
      <c r="H128" s="1">
        <v>10000</v>
      </c>
      <c r="I128" s="1">
        <v>2000</v>
      </c>
      <c r="J128" s="1" t="s">
        <v>79</v>
      </c>
      <c r="K128" s="1" t="s">
        <v>73</v>
      </c>
      <c r="L128" s="1">
        <v>117</v>
      </c>
      <c r="M128" s="1">
        <v>1</v>
      </c>
      <c r="N128" s="1">
        <f t="shared" si="5"/>
        <v>6004</v>
      </c>
    </row>
    <row r="129" ht="16.5" spans="1:14">
      <c r="A129" s="1">
        <f t="shared" si="3"/>
        <v>91505</v>
      </c>
      <c r="B129" s="2">
        <v>1</v>
      </c>
      <c r="C129" s="1" t="s">
        <v>180</v>
      </c>
      <c r="D129" s="1" t="s">
        <v>181</v>
      </c>
      <c r="E129" s="1" t="s">
        <v>182</v>
      </c>
      <c r="F129" s="1">
        <f t="shared" si="4"/>
        <v>5</v>
      </c>
      <c r="G129" s="1" t="s">
        <v>74</v>
      </c>
      <c r="H129" s="1">
        <v>6000</v>
      </c>
      <c r="I129" s="1">
        <v>0</v>
      </c>
      <c r="J129" s="1" t="s">
        <v>75</v>
      </c>
      <c r="K129" s="1" t="s">
        <v>73</v>
      </c>
      <c r="L129" s="1">
        <v>175</v>
      </c>
      <c r="M129" s="1">
        <v>1</v>
      </c>
      <c r="N129" s="1">
        <f t="shared" si="5"/>
        <v>6005</v>
      </c>
    </row>
    <row r="130" ht="16.5" spans="1:14">
      <c r="A130" s="1">
        <f t="shared" si="3"/>
        <v>91506</v>
      </c>
      <c r="B130" s="1">
        <v>2</v>
      </c>
      <c r="C130" s="1" t="s">
        <v>180</v>
      </c>
      <c r="D130" s="1" t="s">
        <v>181</v>
      </c>
      <c r="E130" s="1" t="s">
        <v>182</v>
      </c>
      <c r="F130" s="1">
        <f t="shared" si="4"/>
        <v>5</v>
      </c>
      <c r="G130" s="1" t="s">
        <v>76</v>
      </c>
      <c r="H130" s="1">
        <v>10000</v>
      </c>
      <c r="I130" s="1">
        <v>2000</v>
      </c>
      <c r="J130" s="1" t="s">
        <v>77</v>
      </c>
      <c r="K130" s="1" t="s">
        <v>73</v>
      </c>
      <c r="L130" s="1">
        <v>262</v>
      </c>
      <c r="M130" s="1">
        <v>1</v>
      </c>
      <c r="N130" s="1">
        <f t="shared" si="5"/>
        <v>6006</v>
      </c>
    </row>
    <row r="131" ht="16.5" spans="1:14">
      <c r="A131" s="1">
        <f t="shared" si="3"/>
        <v>91507</v>
      </c>
      <c r="B131" s="1">
        <v>3</v>
      </c>
      <c r="C131" s="1" t="s">
        <v>180</v>
      </c>
      <c r="D131" s="1" t="s">
        <v>181</v>
      </c>
      <c r="E131" s="1" t="s">
        <v>182</v>
      </c>
      <c r="F131" s="1">
        <f t="shared" si="4"/>
        <v>5</v>
      </c>
      <c r="G131" s="1" t="s">
        <v>78</v>
      </c>
      <c r="H131" s="1">
        <v>10000</v>
      </c>
      <c r="I131" s="1">
        <v>5000</v>
      </c>
      <c r="J131" s="1" t="s">
        <v>79</v>
      </c>
      <c r="K131" s="1" t="s">
        <v>73</v>
      </c>
      <c r="L131" s="1">
        <v>393</v>
      </c>
      <c r="M131" s="1">
        <v>1</v>
      </c>
      <c r="N131" s="1">
        <f t="shared" si="5"/>
        <v>6007</v>
      </c>
    </row>
    <row r="132" ht="16.5" spans="1:14">
      <c r="A132" s="1">
        <f t="shared" si="3"/>
        <v>91508</v>
      </c>
      <c r="B132" s="1">
        <v>4</v>
      </c>
      <c r="C132" s="1" t="s">
        <v>180</v>
      </c>
      <c r="D132" s="1" t="s">
        <v>181</v>
      </c>
      <c r="E132" s="1" t="s">
        <v>182</v>
      </c>
      <c r="F132" s="1">
        <f t="shared" si="4"/>
        <v>5</v>
      </c>
      <c r="G132" s="1" t="s">
        <v>83</v>
      </c>
      <c r="H132" s="1">
        <v>10000</v>
      </c>
      <c r="I132" s="1">
        <v>10000</v>
      </c>
      <c r="J132" s="1" t="s">
        <v>84</v>
      </c>
      <c r="K132" s="1" t="s">
        <v>73</v>
      </c>
      <c r="L132" s="1">
        <v>589</v>
      </c>
      <c r="M132" s="1">
        <v>1</v>
      </c>
      <c r="N132" s="1">
        <f t="shared" si="5"/>
        <v>6008</v>
      </c>
    </row>
    <row r="133" ht="16.5" spans="1:14">
      <c r="A133" s="1">
        <f t="shared" si="3"/>
        <v>91509</v>
      </c>
      <c r="B133" s="2">
        <v>2</v>
      </c>
      <c r="C133" s="1" t="s">
        <v>183</v>
      </c>
      <c r="D133" s="1" t="s">
        <v>184</v>
      </c>
      <c r="E133" s="1" t="s">
        <v>185</v>
      </c>
      <c r="F133" s="1">
        <f t="shared" si="4"/>
        <v>5</v>
      </c>
      <c r="G133" s="1" t="s">
        <v>76</v>
      </c>
      <c r="H133" s="1">
        <v>10000</v>
      </c>
      <c r="I133" s="1">
        <v>2000</v>
      </c>
      <c r="J133" s="1" t="s">
        <v>77</v>
      </c>
      <c r="K133" s="1" t="s">
        <v>73</v>
      </c>
      <c r="L133" s="1">
        <v>883</v>
      </c>
      <c r="M133" s="1">
        <v>1</v>
      </c>
      <c r="N133" s="1">
        <f t="shared" si="5"/>
        <v>6009</v>
      </c>
    </row>
    <row r="134" ht="16.5" spans="1:14">
      <c r="A134" s="1">
        <f t="shared" si="3"/>
        <v>91510</v>
      </c>
      <c r="B134" s="1">
        <v>3</v>
      </c>
      <c r="C134" s="1" t="s">
        <v>183</v>
      </c>
      <c r="D134" s="1" t="s">
        <v>184</v>
      </c>
      <c r="E134" s="1" t="s">
        <v>185</v>
      </c>
      <c r="F134" s="1">
        <f t="shared" si="4"/>
        <v>5</v>
      </c>
      <c r="G134" s="1" t="s">
        <v>78</v>
      </c>
      <c r="H134" s="1">
        <v>10000</v>
      </c>
      <c r="I134" s="1">
        <v>5000</v>
      </c>
      <c r="J134" s="1" t="s">
        <v>79</v>
      </c>
      <c r="K134" s="1" t="s">
        <v>73</v>
      </c>
      <c r="L134" s="1">
        <v>1324</v>
      </c>
      <c r="M134" s="1">
        <v>1</v>
      </c>
      <c r="N134" s="1">
        <f t="shared" si="5"/>
        <v>6010</v>
      </c>
    </row>
    <row r="135" ht="16.5" spans="1:14">
      <c r="A135" s="1">
        <f t="shared" si="3"/>
        <v>91511</v>
      </c>
      <c r="B135" s="1">
        <v>4</v>
      </c>
      <c r="C135" s="1" t="s">
        <v>183</v>
      </c>
      <c r="D135" s="1" t="s">
        <v>184</v>
      </c>
      <c r="E135" s="1" t="s">
        <v>185</v>
      </c>
      <c r="F135" s="1">
        <f t="shared" si="4"/>
        <v>5</v>
      </c>
      <c r="G135" s="1" t="s">
        <v>83</v>
      </c>
      <c r="H135" s="1">
        <v>10000</v>
      </c>
      <c r="I135" s="1">
        <v>10000</v>
      </c>
      <c r="J135" s="1" t="s">
        <v>84</v>
      </c>
      <c r="K135" s="1" t="s">
        <v>73</v>
      </c>
      <c r="L135" s="1">
        <v>1986</v>
      </c>
      <c r="M135" s="1">
        <v>1</v>
      </c>
      <c r="N135" s="1">
        <f t="shared" si="5"/>
        <v>6011</v>
      </c>
    </row>
    <row r="136" ht="16.5" spans="1:14">
      <c r="A136" s="1">
        <f t="shared" si="3"/>
        <v>91512</v>
      </c>
      <c r="B136" s="1">
        <v>5</v>
      </c>
      <c r="C136" s="1" t="s">
        <v>183</v>
      </c>
      <c r="D136" s="1" t="s">
        <v>184</v>
      </c>
      <c r="E136" s="1" t="s">
        <v>185</v>
      </c>
      <c r="F136" s="1">
        <f t="shared" si="4"/>
        <v>5</v>
      </c>
      <c r="G136" s="1" t="s">
        <v>88</v>
      </c>
      <c r="H136" s="1">
        <v>10000</v>
      </c>
      <c r="I136" s="1">
        <v>10000</v>
      </c>
      <c r="J136" s="1" t="s">
        <v>89</v>
      </c>
      <c r="K136" s="1" t="s">
        <v>73</v>
      </c>
      <c r="L136" s="1">
        <v>2979</v>
      </c>
      <c r="M136" s="1">
        <v>1</v>
      </c>
      <c r="N136" s="1">
        <f t="shared" si="5"/>
        <v>6012</v>
      </c>
    </row>
    <row r="137" ht="16.5" spans="1:14">
      <c r="A137" s="1">
        <f t="shared" si="3"/>
        <v>91513</v>
      </c>
      <c r="B137" s="2">
        <v>3</v>
      </c>
      <c r="C137" s="1" t="s">
        <v>186</v>
      </c>
      <c r="D137" s="1" t="s">
        <v>187</v>
      </c>
      <c r="E137" s="1" t="s">
        <v>188</v>
      </c>
      <c r="F137" s="1">
        <f t="shared" si="4"/>
        <v>5</v>
      </c>
      <c r="G137" s="1" t="s">
        <v>78</v>
      </c>
      <c r="H137" s="1">
        <v>10000</v>
      </c>
      <c r="I137" s="1">
        <v>5000</v>
      </c>
      <c r="J137" s="1" t="s">
        <v>79</v>
      </c>
      <c r="K137" s="1" t="s">
        <v>73</v>
      </c>
      <c r="L137" s="1">
        <v>35</v>
      </c>
      <c r="M137" s="1">
        <v>1</v>
      </c>
      <c r="N137" s="1">
        <f t="shared" si="5"/>
        <v>6013</v>
      </c>
    </row>
    <row r="138" ht="16.5" spans="1:14">
      <c r="A138" s="1">
        <f t="shared" si="3"/>
        <v>91514</v>
      </c>
      <c r="B138" s="1">
        <v>4</v>
      </c>
      <c r="C138" s="1" t="s">
        <v>186</v>
      </c>
      <c r="D138" s="1" t="s">
        <v>187</v>
      </c>
      <c r="E138" s="1" t="s">
        <v>188</v>
      </c>
      <c r="F138" s="1">
        <f t="shared" si="4"/>
        <v>5</v>
      </c>
      <c r="G138" s="1" t="s">
        <v>83</v>
      </c>
      <c r="H138" s="1">
        <v>10000</v>
      </c>
      <c r="I138" s="1">
        <v>10000</v>
      </c>
      <c r="J138" s="1" t="s">
        <v>84</v>
      </c>
      <c r="K138" s="1" t="s">
        <v>73</v>
      </c>
      <c r="L138" s="1">
        <v>52</v>
      </c>
      <c r="M138" s="1">
        <v>1</v>
      </c>
      <c r="N138" s="1">
        <f t="shared" si="5"/>
        <v>6014</v>
      </c>
    </row>
    <row r="139" ht="16.5" spans="1:14">
      <c r="A139" s="1">
        <f t="shared" si="3"/>
        <v>91515</v>
      </c>
      <c r="B139" s="1">
        <v>5</v>
      </c>
      <c r="C139" s="1" t="s">
        <v>186</v>
      </c>
      <c r="D139" s="1" t="s">
        <v>187</v>
      </c>
      <c r="E139" s="1" t="s">
        <v>188</v>
      </c>
      <c r="F139" s="1">
        <f t="shared" si="4"/>
        <v>5</v>
      </c>
      <c r="G139" s="1" t="s">
        <v>88</v>
      </c>
      <c r="H139" s="1">
        <v>10000</v>
      </c>
      <c r="I139" s="1">
        <v>10000</v>
      </c>
      <c r="J139" s="1" t="s">
        <v>89</v>
      </c>
      <c r="K139" s="1" t="s">
        <v>73</v>
      </c>
      <c r="L139" s="1">
        <v>78</v>
      </c>
      <c r="M139" s="1">
        <v>1</v>
      </c>
      <c r="N139" s="1">
        <f t="shared" si="5"/>
        <v>6015</v>
      </c>
    </row>
    <row r="140" ht="16.5" spans="1:14">
      <c r="A140" s="1">
        <f t="shared" si="3"/>
        <v>91516</v>
      </c>
      <c r="B140" s="1">
        <v>6</v>
      </c>
      <c r="C140" s="1" t="s">
        <v>186</v>
      </c>
      <c r="D140" s="1" t="s">
        <v>187</v>
      </c>
      <c r="E140" s="1" t="s">
        <v>188</v>
      </c>
      <c r="F140" s="1">
        <f t="shared" si="4"/>
        <v>5</v>
      </c>
      <c r="G140" s="1" t="s">
        <v>93</v>
      </c>
      <c r="H140" s="1">
        <v>10000</v>
      </c>
      <c r="I140" s="1">
        <v>10000</v>
      </c>
      <c r="J140" s="1" t="s">
        <v>94</v>
      </c>
      <c r="K140" s="1" t="s">
        <v>73</v>
      </c>
      <c r="L140" s="1">
        <v>117</v>
      </c>
      <c r="M140" s="1">
        <v>1</v>
      </c>
      <c r="N140" s="1">
        <f t="shared" si="5"/>
        <v>6016</v>
      </c>
    </row>
    <row r="141" ht="16.5" spans="1:14">
      <c r="A141" s="1">
        <f t="shared" si="3"/>
        <v>91517</v>
      </c>
      <c r="B141" s="2">
        <v>4</v>
      </c>
      <c r="C141" s="1" t="s">
        <v>189</v>
      </c>
      <c r="D141" s="1" t="s">
        <v>190</v>
      </c>
      <c r="E141" s="1" t="s">
        <v>191</v>
      </c>
      <c r="F141" s="1">
        <f t="shared" si="4"/>
        <v>5</v>
      </c>
      <c r="G141" s="1" t="s">
        <v>83</v>
      </c>
      <c r="H141" s="1">
        <v>10000</v>
      </c>
      <c r="I141" s="1">
        <v>10000</v>
      </c>
      <c r="J141" s="1" t="s">
        <v>84</v>
      </c>
      <c r="K141" s="1" t="s">
        <v>73</v>
      </c>
      <c r="L141" s="1">
        <v>175</v>
      </c>
      <c r="M141" s="1">
        <v>1</v>
      </c>
      <c r="N141" s="1">
        <f t="shared" si="5"/>
        <v>6017</v>
      </c>
    </row>
    <row r="142" ht="16.5" spans="1:14">
      <c r="A142" s="1">
        <f t="shared" si="3"/>
        <v>91518</v>
      </c>
      <c r="B142" s="1">
        <v>5</v>
      </c>
      <c r="C142" s="1" t="s">
        <v>189</v>
      </c>
      <c r="D142" s="1" t="s">
        <v>190</v>
      </c>
      <c r="E142" s="1" t="s">
        <v>191</v>
      </c>
      <c r="F142" s="1">
        <f t="shared" si="4"/>
        <v>5</v>
      </c>
      <c r="G142" s="1" t="s">
        <v>88</v>
      </c>
      <c r="H142" s="1">
        <v>10000</v>
      </c>
      <c r="I142" s="1">
        <v>10000</v>
      </c>
      <c r="J142" s="1" t="s">
        <v>89</v>
      </c>
      <c r="K142" s="1" t="s">
        <v>73</v>
      </c>
      <c r="L142" s="1">
        <v>262</v>
      </c>
      <c r="M142" s="1">
        <v>1</v>
      </c>
      <c r="N142" s="1">
        <f t="shared" si="5"/>
        <v>6018</v>
      </c>
    </row>
    <row r="143" ht="16.5" spans="1:14">
      <c r="A143" s="1">
        <f t="shared" si="3"/>
        <v>91519</v>
      </c>
      <c r="B143" s="1">
        <v>6</v>
      </c>
      <c r="C143" s="1" t="s">
        <v>189</v>
      </c>
      <c r="D143" s="1" t="s">
        <v>190</v>
      </c>
      <c r="E143" s="1" t="s">
        <v>191</v>
      </c>
      <c r="F143" s="1">
        <f t="shared" si="4"/>
        <v>5</v>
      </c>
      <c r="G143" s="1" t="s">
        <v>93</v>
      </c>
      <c r="H143" s="1">
        <v>10000</v>
      </c>
      <c r="I143" s="1">
        <v>10000</v>
      </c>
      <c r="J143" s="1" t="s">
        <v>94</v>
      </c>
      <c r="K143" s="1" t="s">
        <v>73</v>
      </c>
      <c r="L143" s="1">
        <v>393</v>
      </c>
      <c r="M143" s="1">
        <v>1</v>
      </c>
      <c r="N143" s="1">
        <f t="shared" si="5"/>
        <v>6019</v>
      </c>
    </row>
    <row r="144" ht="16.5" spans="1:14">
      <c r="A144" s="1">
        <f t="shared" si="3"/>
        <v>91520</v>
      </c>
      <c r="B144" s="1">
        <v>7</v>
      </c>
      <c r="C144" s="1" t="s">
        <v>189</v>
      </c>
      <c r="D144" s="1" t="s">
        <v>190</v>
      </c>
      <c r="E144" s="1" t="s">
        <v>191</v>
      </c>
      <c r="F144" s="1">
        <f t="shared" si="4"/>
        <v>5</v>
      </c>
      <c r="G144" s="1" t="s">
        <v>98</v>
      </c>
      <c r="H144" s="1">
        <v>10000</v>
      </c>
      <c r="I144" s="1">
        <v>10000</v>
      </c>
      <c r="J144" s="1" t="s">
        <v>99</v>
      </c>
      <c r="K144" s="1" t="s">
        <v>73</v>
      </c>
      <c r="L144" s="1">
        <v>589</v>
      </c>
      <c r="M144" s="1">
        <v>1</v>
      </c>
      <c r="N144" s="1">
        <f t="shared" si="5"/>
        <v>6020</v>
      </c>
    </row>
    <row r="145" ht="16.5" spans="1:14">
      <c r="A145" s="1">
        <f t="shared" si="3"/>
        <v>91521</v>
      </c>
      <c r="B145" s="2">
        <v>5</v>
      </c>
      <c r="C145" s="1" t="s">
        <v>192</v>
      </c>
      <c r="D145" s="1" t="s">
        <v>193</v>
      </c>
      <c r="E145" s="1" t="s">
        <v>194</v>
      </c>
      <c r="F145" s="1">
        <f t="shared" si="4"/>
        <v>5</v>
      </c>
      <c r="G145" s="1" t="s">
        <v>88</v>
      </c>
      <c r="H145" s="1">
        <v>10000</v>
      </c>
      <c r="I145" s="1">
        <v>10000</v>
      </c>
      <c r="J145" s="1" t="s">
        <v>89</v>
      </c>
      <c r="K145" s="1" t="s">
        <v>73</v>
      </c>
      <c r="L145" s="1">
        <v>883</v>
      </c>
      <c r="M145" s="1">
        <v>1</v>
      </c>
      <c r="N145" s="1">
        <f t="shared" si="5"/>
        <v>6021</v>
      </c>
    </row>
    <row r="146" ht="16.5" spans="1:14">
      <c r="A146" s="1">
        <f t="shared" si="3"/>
        <v>91522</v>
      </c>
      <c r="B146" s="1">
        <v>6</v>
      </c>
      <c r="C146" s="1" t="s">
        <v>192</v>
      </c>
      <c r="D146" s="1" t="s">
        <v>193</v>
      </c>
      <c r="E146" s="1" t="s">
        <v>194</v>
      </c>
      <c r="F146" s="1">
        <f t="shared" si="4"/>
        <v>5</v>
      </c>
      <c r="G146" s="1" t="s">
        <v>93</v>
      </c>
      <c r="H146" s="1">
        <v>10000</v>
      </c>
      <c r="I146" s="1">
        <v>10000</v>
      </c>
      <c r="J146" s="1" t="s">
        <v>94</v>
      </c>
      <c r="K146" s="1" t="s">
        <v>73</v>
      </c>
      <c r="L146" s="1">
        <v>1324</v>
      </c>
      <c r="M146" s="1">
        <v>1</v>
      </c>
      <c r="N146" s="1">
        <f t="shared" si="5"/>
        <v>6022</v>
      </c>
    </row>
    <row r="147" ht="16.5" spans="1:14">
      <c r="A147" s="1">
        <f t="shared" si="3"/>
        <v>91523</v>
      </c>
      <c r="B147" s="1">
        <v>7</v>
      </c>
      <c r="C147" s="1" t="s">
        <v>192</v>
      </c>
      <c r="D147" s="1" t="s">
        <v>193</v>
      </c>
      <c r="E147" s="1" t="s">
        <v>194</v>
      </c>
      <c r="F147" s="1">
        <f t="shared" si="4"/>
        <v>5</v>
      </c>
      <c r="G147" s="1" t="s">
        <v>98</v>
      </c>
      <c r="H147" s="1">
        <v>10000</v>
      </c>
      <c r="I147" s="1">
        <v>10000</v>
      </c>
      <c r="J147" s="1" t="s">
        <v>99</v>
      </c>
      <c r="K147" s="1" t="s">
        <v>73</v>
      </c>
      <c r="L147" s="1">
        <v>1986</v>
      </c>
      <c r="M147" s="1">
        <v>1</v>
      </c>
      <c r="N147" s="1">
        <f t="shared" si="5"/>
        <v>6023</v>
      </c>
    </row>
    <row r="148" ht="16.5" spans="1:14">
      <c r="A148" s="1">
        <f t="shared" si="3"/>
        <v>91524</v>
      </c>
      <c r="B148" s="1">
        <v>8</v>
      </c>
      <c r="C148" s="1" t="s">
        <v>192</v>
      </c>
      <c r="D148" s="1" t="s">
        <v>193</v>
      </c>
      <c r="E148" s="1" t="s">
        <v>194</v>
      </c>
      <c r="F148" s="1">
        <f t="shared" si="4"/>
        <v>5</v>
      </c>
      <c r="G148" s="1" t="s">
        <v>103</v>
      </c>
      <c r="H148" s="1">
        <v>10000</v>
      </c>
      <c r="I148" s="1">
        <v>10000</v>
      </c>
      <c r="J148" s="1" t="s">
        <v>104</v>
      </c>
      <c r="K148" s="1" t="s">
        <v>73</v>
      </c>
      <c r="L148" s="1">
        <v>2979</v>
      </c>
      <c r="M148" s="1">
        <v>1</v>
      </c>
      <c r="N148" s="1">
        <f t="shared" si="5"/>
        <v>6024</v>
      </c>
    </row>
    <row r="149" ht="16.5" spans="1:14">
      <c r="A149" s="1">
        <f t="shared" si="3"/>
        <v>91601</v>
      </c>
      <c r="B149" s="2">
        <v>0</v>
      </c>
      <c r="C149" s="1" t="s">
        <v>195</v>
      </c>
      <c r="D149" s="1" t="s">
        <v>196</v>
      </c>
      <c r="E149" s="1" t="s">
        <v>197</v>
      </c>
      <c r="F149" s="1">
        <f t="shared" si="4"/>
        <v>6</v>
      </c>
      <c r="G149" s="1" t="s">
        <v>71</v>
      </c>
      <c r="H149" s="1">
        <v>0</v>
      </c>
      <c r="I149" s="1">
        <v>0</v>
      </c>
      <c r="J149" s="1" t="s">
        <v>72</v>
      </c>
      <c r="K149" s="1" t="s">
        <v>73</v>
      </c>
      <c r="L149" s="1">
        <v>35</v>
      </c>
      <c r="M149" s="1">
        <v>1</v>
      </c>
      <c r="N149" s="1">
        <f t="shared" si="5"/>
        <v>7001</v>
      </c>
    </row>
    <row r="150" ht="16.5" spans="1:14">
      <c r="A150" s="1">
        <f t="shared" si="3"/>
        <v>91602</v>
      </c>
      <c r="B150" s="1">
        <v>1</v>
      </c>
      <c r="C150" s="1" t="s">
        <v>195</v>
      </c>
      <c r="D150" s="1" t="s">
        <v>196</v>
      </c>
      <c r="E150" s="1" t="s">
        <v>197</v>
      </c>
      <c r="F150" s="1">
        <f t="shared" si="4"/>
        <v>6</v>
      </c>
      <c r="G150" s="1" t="s">
        <v>74</v>
      </c>
      <c r="H150" s="1">
        <v>3000</v>
      </c>
      <c r="I150" s="1">
        <v>0</v>
      </c>
      <c r="J150" s="1" t="s">
        <v>75</v>
      </c>
      <c r="K150" s="1" t="s">
        <v>73</v>
      </c>
      <c r="L150" s="1">
        <v>52</v>
      </c>
      <c r="M150" s="1">
        <v>1</v>
      </c>
      <c r="N150" s="1">
        <f t="shared" si="5"/>
        <v>7002</v>
      </c>
    </row>
    <row r="151" ht="16.5" spans="1:14">
      <c r="A151" s="1">
        <f t="shared" si="3"/>
        <v>91603</v>
      </c>
      <c r="B151" s="1">
        <v>2</v>
      </c>
      <c r="C151" s="1" t="s">
        <v>195</v>
      </c>
      <c r="D151" s="1" t="s">
        <v>196</v>
      </c>
      <c r="E151" s="1" t="s">
        <v>197</v>
      </c>
      <c r="F151" s="1">
        <f t="shared" si="4"/>
        <v>6</v>
      </c>
      <c r="G151" s="1" t="s">
        <v>76</v>
      </c>
      <c r="H151" s="1">
        <v>6000</v>
      </c>
      <c r="I151" s="1">
        <v>0</v>
      </c>
      <c r="J151" s="1" t="s">
        <v>77</v>
      </c>
      <c r="K151" s="1" t="s">
        <v>73</v>
      </c>
      <c r="L151" s="1">
        <v>78</v>
      </c>
      <c r="M151" s="1">
        <v>1</v>
      </c>
      <c r="N151" s="1">
        <f t="shared" si="5"/>
        <v>7003</v>
      </c>
    </row>
    <row r="152" ht="16.5" spans="1:14">
      <c r="A152" s="1">
        <f t="shared" si="3"/>
        <v>91604</v>
      </c>
      <c r="B152" s="1">
        <v>3</v>
      </c>
      <c r="C152" s="1" t="s">
        <v>195</v>
      </c>
      <c r="D152" s="1" t="s">
        <v>196</v>
      </c>
      <c r="E152" s="1" t="s">
        <v>197</v>
      </c>
      <c r="F152" s="1">
        <f t="shared" si="4"/>
        <v>6</v>
      </c>
      <c r="G152" s="1" t="s">
        <v>78</v>
      </c>
      <c r="H152" s="1">
        <v>10000</v>
      </c>
      <c r="I152" s="1">
        <v>2000</v>
      </c>
      <c r="J152" s="1" t="s">
        <v>79</v>
      </c>
      <c r="K152" s="1" t="s">
        <v>73</v>
      </c>
      <c r="L152" s="1">
        <v>117</v>
      </c>
      <c r="M152" s="1">
        <v>1</v>
      </c>
      <c r="N152" s="1">
        <f t="shared" si="5"/>
        <v>7004</v>
      </c>
    </row>
    <row r="153" ht="16.5" spans="1:14">
      <c r="A153" s="1">
        <f t="shared" si="3"/>
        <v>91605</v>
      </c>
      <c r="B153" s="2">
        <v>1</v>
      </c>
      <c r="C153" s="1" t="s">
        <v>198</v>
      </c>
      <c r="D153" s="1" t="s">
        <v>199</v>
      </c>
      <c r="E153" s="1" t="s">
        <v>200</v>
      </c>
      <c r="F153" s="1">
        <f t="shared" si="4"/>
        <v>6</v>
      </c>
      <c r="G153" s="1" t="s">
        <v>74</v>
      </c>
      <c r="H153" s="1">
        <v>6000</v>
      </c>
      <c r="I153" s="1">
        <v>0</v>
      </c>
      <c r="J153" s="1" t="s">
        <v>75</v>
      </c>
      <c r="K153" s="1" t="s">
        <v>73</v>
      </c>
      <c r="L153" s="1">
        <v>175</v>
      </c>
      <c r="M153" s="1">
        <v>1</v>
      </c>
      <c r="N153" s="1">
        <f t="shared" si="5"/>
        <v>7005</v>
      </c>
    </row>
    <row r="154" ht="16.5" spans="1:14">
      <c r="A154" s="1">
        <f t="shared" si="3"/>
        <v>91606</v>
      </c>
      <c r="B154" s="1">
        <v>2</v>
      </c>
      <c r="C154" s="1" t="s">
        <v>198</v>
      </c>
      <c r="D154" s="1" t="s">
        <v>199</v>
      </c>
      <c r="E154" s="1" t="s">
        <v>200</v>
      </c>
      <c r="F154" s="1">
        <f t="shared" si="4"/>
        <v>6</v>
      </c>
      <c r="G154" s="1" t="s">
        <v>76</v>
      </c>
      <c r="H154" s="1">
        <v>10000</v>
      </c>
      <c r="I154" s="1">
        <v>2000</v>
      </c>
      <c r="J154" s="1" t="s">
        <v>77</v>
      </c>
      <c r="K154" s="1" t="s">
        <v>73</v>
      </c>
      <c r="L154" s="1">
        <v>262</v>
      </c>
      <c r="M154" s="1">
        <v>1</v>
      </c>
      <c r="N154" s="1">
        <f t="shared" si="5"/>
        <v>7006</v>
      </c>
    </row>
    <row r="155" ht="16.5" spans="1:14">
      <c r="A155" s="1">
        <f t="shared" si="3"/>
        <v>91607</v>
      </c>
      <c r="B155" s="1">
        <v>3</v>
      </c>
      <c r="C155" s="1" t="s">
        <v>198</v>
      </c>
      <c r="D155" s="1" t="s">
        <v>199</v>
      </c>
      <c r="E155" s="1" t="s">
        <v>200</v>
      </c>
      <c r="F155" s="1">
        <f t="shared" si="4"/>
        <v>6</v>
      </c>
      <c r="G155" s="1" t="s">
        <v>78</v>
      </c>
      <c r="H155" s="1">
        <v>10000</v>
      </c>
      <c r="I155" s="1">
        <v>5000</v>
      </c>
      <c r="J155" s="1" t="s">
        <v>79</v>
      </c>
      <c r="K155" s="1" t="s">
        <v>73</v>
      </c>
      <c r="L155" s="1">
        <v>393</v>
      </c>
      <c r="M155" s="1">
        <v>1</v>
      </c>
      <c r="N155" s="1">
        <f t="shared" si="5"/>
        <v>7007</v>
      </c>
    </row>
    <row r="156" ht="16.5" spans="1:14">
      <c r="A156" s="1">
        <f t="shared" si="3"/>
        <v>91608</v>
      </c>
      <c r="B156" s="1">
        <v>4</v>
      </c>
      <c r="C156" s="1" t="s">
        <v>198</v>
      </c>
      <c r="D156" s="1" t="s">
        <v>199</v>
      </c>
      <c r="E156" s="1" t="s">
        <v>200</v>
      </c>
      <c r="F156" s="1">
        <f t="shared" si="4"/>
        <v>6</v>
      </c>
      <c r="G156" s="1" t="s">
        <v>83</v>
      </c>
      <c r="H156" s="1">
        <v>10000</v>
      </c>
      <c r="I156" s="1">
        <v>10000</v>
      </c>
      <c r="J156" s="1" t="s">
        <v>84</v>
      </c>
      <c r="K156" s="1" t="s">
        <v>73</v>
      </c>
      <c r="L156" s="1">
        <v>589</v>
      </c>
      <c r="M156" s="1">
        <v>1</v>
      </c>
      <c r="N156" s="1">
        <f t="shared" si="5"/>
        <v>7008</v>
      </c>
    </row>
    <row r="157" ht="16.5" spans="1:14">
      <c r="A157" s="1">
        <f t="shared" ref="A157:A196" si="6">A133+100</f>
        <v>91609</v>
      </c>
      <c r="B157" s="2">
        <v>2</v>
      </c>
      <c r="C157" s="1" t="s">
        <v>201</v>
      </c>
      <c r="D157" s="1" t="s">
        <v>202</v>
      </c>
      <c r="E157" s="1" t="s">
        <v>203</v>
      </c>
      <c r="F157" s="1">
        <f t="shared" ref="F157:F196" si="7">F133+1</f>
        <v>6</v>
      </c>
      <c r="G157" s="1" t="s">
        <v>76</v>
      </c>
      <c r="H157" s="1">
        <v>10000</v>
      </c>
      <c r="I157" s="1">
        <v>2000</v>
      </c>
      <c r="J157" s="1" t="s">
        <v>77</v>
      </c>
      <c r="K157" s="1" t="s">
        <v>73</v>
      </c>
      <c r="L157" s="1">
        <v>883</v>
      </c>
      <c r="M157" s="1">
        <v>1</v>
      </c>
      <c r="N157" s="1">
        <f t="shared" ref="N157:N196" si="8">N133+1000</f>
        <v>7009</v>
      </c>
    </row>
    <row r="158" ht="16.5" spans="1:14">
      <c r="A158" s="1">
        <f t="shared" si="6"/>
        <v>91610</v>
      </c>
      <c r="B158" s="1">
        <v>3</v>
      </c>
      <c r="C158" s="1" t="s">
        <v>201</v>
      </c>
      <c r="D158" s="1" t="s">
        <v>202</v>
      </c>
      <c r="E158" s="1" t="s">
        <v>203</v>
      </c>
      <c r="F158" s="1">
        <f t="shared" si="7"/>
        <v>6</v>
      </c>
      <c r="G158" s="1" t="s">
        <v>78</v>
      </c>
      <c r="H158" s="1">
        <v>10000</v>
      </c>
      <c r="I158" s="1">
        <v>5000</v>
      </c>
      <c r="J158" s="1" t="s">
        <v>79</v>
      </c>
      <c r="K158" s="1" t="s">
        <v>73</v>
      </c>
      <c r="L158" s="1">
        <v>1324</v>
      </c>
      <c r="M158" s="1">
        <v>1</v>
      </c>
      <c r="N158" s="1">
        <f t="shared" si="8"/>
        <v>7010</v>
      </c>
    </row>
    <row r="159" ht="16.5" spans="1:14">
      <c r="A159" s="1">
        <f t="shared" si="6"/>
        <v>91611</v>
      </c>
      <c r="B159" s="1">
        <v>4</v>
      </c>
      <c r="C159" s="1" t="s">
        <v>201</v>
      </c>
      <c r="D159" s="1" t="s">
        <v>202</v>
      </c>
      <c r="E159" s="1" t="s">
        <v>203</v>
      </c>
      <c r="F159" s="1">
        <f t="shared" si="7"/>
        <v>6</v>
      </c>
      <c r="G159" s="1" t="s">
        <v>83</v>
      </c>
      <c r="H159" s="1">
        <v>10000</v>
      </c>
      <c r="I159" s="1">
        <v>10000</v>
      </c>
      <c r="J159" s="1" t="s">
        <v>84</v>
      </c>
      <c r="K159" s="1" t="s">
        <v>73</v>
      </c>
      <c r="L159" s="1">
        <v>1986</v>
      </c>
      <c r="M159" s="1">
        <v>1</v>
      </c>
      <c r="N159" s="1">
        <f t="shared" si="8"/>
        <v>7011</v>
      </c>
    </row>
    <row r="160" ht="16.5" spans="1:14">
      <c r="A160" s="1">
        <f t="shared" si="6"/>
        <v>91612</v>
      </c>
      <c r="B160" s="1">
        <v>5</v>
      </c>
      <c r="C160" s="1" t="s">
        <v>201</v>
      </c>
      <c r="D160" s="1" t="s">
        <v>202</v>
      </c>
      <c r="E160" s="1" t="s">
        <v>203</v>
      </c>
      <c r="F160" s="1">
        <f t="shared" si="7"/>
        <v>6</v>
      </c>
      <c r="G160" s="1" t="s">
        <v>88</v>
      </c>
      <c r="H160" s="1">
        <v>10000</v>
      </c>
      <c r="I160" s="1">
        <v>10000</v>
      </c>
      <c r="J160" s="1" t="s">
        <v>89</v>
      </c>
      <c r="K160" s="1" t="s">
        <v>73</v>
      </c>
      <c r="L160" s="1">
        <v>2979</v>
      </c>
      <c r="M160" s="1">
        <v>1</v>
      </c>
      <c r="N160" s="1">
        <f t="shared" si="8"/>
        <v>7012</v>
      </c>
    </row>
    <row r="161" ht="16.5" spans="1:14">
      <c r="A161" s="1">
        <f t="shared" si="6"/>
        <v>91613</v>
      </c>
      <c r="B161" s="2">
        <v>3</v>
      </c>
      <c r="C161" s="1" t="s">
        <v>204</v>
      </c>
      <c r="D161" s="1" t="s">
        <v>205</v>
      </c>
      <c r="E161" s="1" t="s">
        <v>206</v>
      </c>
      <c r="F161" s="1">
        <f t="shared" si="7"/>
        <v>6</v>
      </c>
      <c r="G161" s="1" t="s">
        <v>78</v>
      </c>
      <c r="H161" s="1">
        <v>10000</v>
      </c>
      <c r="I161" s="1">
        <v>5000</v>
      </c>
      <c r="J161" s="1" t="s">
        <v>79</v>
      </c>
      <c r="K161" s="1" t="s">
        <v>73</v>
      </c>
      <c r="L161" s="1">
        <v>35</v>
      </c>
      <c r="M161" s="1">
        <v>1</v>
      </c>
      <c r="N161" s="1">
        <f t="shared" si="8"/>
        <v>7013</v>
      </c>
    </row>
    <row r="162" ht="16.5" spans="1:14">
      <c r="A162" s="1">
        <f t="shared" si="6"/>
        <v>91614</v>
      </c>
      <c r="B162" s="1">
        <v>4</v>
      </c>
      <c r="C162" s="1" t="s">
        <v>204</v>
      </c>
      <c r="D162" s="1" t="s">
        <v>205</v>
      </c>
      <c r="E162" s="1" t="s">
        <v>206</v>
      </c>
      <c r="F162" s="1">
        <f t="shared" si="7"/>
        <v>6</v>
      </c>
      <c r="G162" s="1" t="s">
        <v>83</v>
      </c>
      <c r="H162" s="1">
        <v>10000</v>
      </c>
      <c r="I162" s="1">
        <v>10000</v>
      </c>
      <c r="J162" s="1" t="s">
        <v>84</v>
      </c>
      <c r="K162" s="1" t="s">
        <v>73</v>
      </c>
      <c r="L162" s="1">
        <v>52</v>
      </c>
      <c r="M162" s="1">
        <v>1</v>
      </c>
      <c r="N162" s="1">
        <f t="shared" si="8"/>
        <v>7014</v>
      </c>
    </row>
    <row r="163" ht="16.5" spans="1:14">
      <c r="A163" s="1">
        <f t="shared" si="6"/>
        <v>91615</v>
      </c>
      <c r="B163" s="1">
        <v>5</v>
      </c>
      <c r="C163" s="1" t="s">
        <v>204</v>
      </c>
      <c r="D163" s="1" t="s">
        <v>205</v>
      </c>
      <c r="E163" s="1" t="s">
        <v>206</v>
      </c>
      <c r="F163" s="1">
        <f t="shared" si="7"/>
        <v>6</v>
      </c>
      <c r="G163" s="1" t="s">
        <v>88</v>
      </c>
      <c r="H163" s="1">
        <v>10000</v>
      </c>
      <c r="I163" s="1">
        <v>10000</v>
      </c>
      <c r="J163" s="1" t="s">
        <v>89</v>
      </c>
      <c r="K163" s="1" t="s">
        <v>73</v>
      </c>
      <c r="L163" s="1">
        <v>78</v>
      </c>
      <c r="M163" s="1">
        <v>1</v>
      </c>
      <c r="N163" s="1">
        <f t="shared" si="8"/>
        <v>7015</v>
      </c>
    </row>
    <row r="164" ht="16.5" spans="1:14">
      <c r="A164" s="1">
        <f t="shared" si="6"/>
        <v>91616</v>
      </c>
      <c r="B164" s="1">
        <v>6</v>
      </c>
      <c r="C164" s="1" t="s">
        <v>204</v>
      </c>
      <c r="D164" s="1" t="s">
        <v>205</v>
      </c>
      <c r="E164" s="1" t="s">
        <v>206</v>
      </c>
      <c r="F164" s="1">
        <f t="shared" si="7"/>
        <v>6</v>
      </c>
      <c r="G164" s="1" t="s">
        <v>93</v>
      </c>
      <c r="H164" s="1">
        <v>10000</v>
      </c>
      <c r="I164" s="1">
        <v>10000</v>
      </c>
      <c r="J164" s="1" t="s">
        <v>94</v>
      </c>
      <c r="K164" s="1" t="s">
        <v>73</v>
      </c>
      <c r="L164" s="1">
        <v>117</v>
      </c>
      <c r="M164" s="1">
        <v>1</v>
      </c>
      <c r="N164" s="1">
        <f t="shared" si="8"/>
        <v>7016</v>
      </c>
    </row>
    <row r="165" ht="16.5" spans="1:14">
      <c r="A165" s="1">
        <f t="shared" si="6"/>
        <v>91617</v>
      </c>
      <c r="B165" s="2">
        <v>4</v>
      </c>
      <c r="C165" s="1" t="s">
        <v>207</v>
      </c>
      <c r="D165" s="1" t="s">
        <v>208</v>
      </c>
      <c r="E165" s="1" t="s">
        <v>209</v>
      </c>
      <c r="F165" s="1">
        <f t="shared" si="7"/>
        <v>6</v>
      </c>
      <c r="G165" s="1" t="s">
        <v>83</v>
      </c>
      <c r="H165" s="1">
        <v>10000</v>
      </c>
      <c r="I165" s="1">
        <v>10000</v>
      </c>
      <c r="J165" s="1" t="s">
        <v>84</v>
      </c>
      <c r="K165" s="1" t="s">
        <v>73</v>
      </c>
      <c r="L165" s="1">
        <v>175</v>
      </c>
      <c r="M165" s="1">
        <v>1</v>
      </c>
      <c r="N165" s="1">
        <f t="shared" si="8"/>
        <v>7017</v>
      </c>
    </row>
    <row r="166" ht="16.5" spans="1:14">
      <c r="A166" s="1">
        <f t="shared" si="6"/>
        <v>91618</v>
      </c>
      <c r="B166" s="1">
        <v>5</v>
      </c>
      <c r="C166" s="1" t="s">
        <v>207</v>
      </c>
      <c r="D166" s="1" t="s">
        <v>208</v>
      </c>
      <c r="E166" s="1" t="s">
        <v>209</v>
      </c>
      <c r="F166" s="1">
        <f t="shared" si="7"/>
        <v>6</v>
      </c>
      <c r="G166" s="1" t="s">
        <v>88</v>
      </c>
      <c r="H166" s="1">
        <v>10000</v>
      </c>
      <c r="I166" s="1">
        <v>10000</v>
      </c>
      <c r="J166" s="1" t="s">
        <v>89</v>
      </c>
      <c r="K166" s="1" t="s">
        <v>73</v>
      </c>
      <c r="L166" s="1">
        <v>262</v>
      </c>
      <c r="M166" s="1">
        <v>1</v>
      </c>
      <c r="N166" s="1">
        <f t="shared" si="8"/>
        <v>7018</v>
      </c>
    </row>
    <row r="167" ht="16.5" spans="1:14">
      <c r="A167" s="1">
        <f t="shared" si="6"/>
        <v>91619</v>
      </c>
      <c r="B167" s="1">
        <v>6</v>
      </c>
      <c r="C167" s="1" t="s">
        <v>207</v>
      </c>
      <c r="D167" s="1" t="s">
        <v>208</v>
      </c>
      <c r="E167" s="1" t="s">
        <v>209</v>
      </c>
      <c r="F167" s="1">
        <f t="shared" si="7"/>
        <v>6</v>
      </c>
      <c r="G167" s="1" t="s">
        <v>93</v>
      </c>
      <c r="H167" s="1">
        <v>10000</v>
      </c>
      <c r="I167" s="1">
        <v>10000</v>
      </c>
      <c r="J167" s="1" t="s">
        <v>94</v>
      </c>
      <c r="K167" s="1" t="s">
        <v>73</v>
      </c>
      <c r="L167" s="1">
        <v>393</v>
      </c>
      <c r="M167" s="1">
        <v>1</v>
      </c>
      <c r="N167" s="1">
        <f t="shared" si="8"/>
        <v>7019</v>
      </c>
    </row>
    <row r="168" ht="16.5" spans="1:14">
      <c r="A168" s="1">
        <f t="shared" si="6"/>
        <v>91620</v>
      </c>
      <c r="B168" s="1">
        <v>7</v>
      </c>
      <c r="C168" s="1" t="s">
        <v>207</v>
      </c>
      <c r="D168" s="1" t="s">
        <v>208</v>
      </c>
      <c r="E168" s="1" t="s">
        <v>209</v>
      </c>
      <c r="F168" s="1">
        <f t="shared" si="7"/>
        <v>6</v>
      </c>
      <c r="G168" s="1" t="s">
        <v>98</v>
      </c>
      <c r="H168" s="1">
        <v>10000</v>
      </c>
      <c r="I168" s="1">
        <v>10000</v>
      </c>
      <c r="J168" s="1" t="s">
        <v>99</v>
      </c>
      <c r="K168" s="1" t="s">
        <v>73</v>
      </c>
      <c r="L168" s="1">
        <v>589</v>
      </c>
      <c r="M168" s="1">
        <v>1</v>
      </c>
      <c r="N168" s="1">
        <f t="shared" si="8"/>
        <v>7020</v>
      </c>
    </row>
    <row r="169" ht="16.5" spans="1:14">
      <c r="A169" s="1">
        <f t="shared" si="6"/>
        <v>91621</v>
      </c>
      <c r="B169" s="2">
        <v>5</v>
      </c>
      <c r="C169" s="1" t="s">
        <v>210</v>
      </c>
      <c r="D169" s="1" t="s">
        <v>211</v>
      </c>
      <c r="E169" s="1" t="s">
        <v>212</v>
      </c>
      <c r="F169" s="1">
        <f t="shared" si="7"/>
        <v>6</v>
      </c>
      <c r="G169" s="1" t="s">
        <v>88</v>
      </c>
      <c r="H169" s="1">
        <v>10000</v>
      </c>
      <c r="I169" s="1">
        <v>10000</v>
      </c>
      <c r="J169" s="1" t="s">
        <v>89</v>
      </c>
      <c r="K169" s="1" t="s">
        <v>73</v>
      </c>
      <c r="L169" s="1">
        <v>883</v>
      </c>
      <c r="M169" s="1">
        <v>1</v>
      </c>
      <c r="N169" s="1">
        <f t="shared" si="8"/>
        <v>7021</v>
      </c>
    </row>
    <row r="170" ht="16.5" spans="1:14">
      <c r="A170" s="1">
        <f t="shared" si="6"/>
        <v>91622</v>
      </c>
      <c r="B170" s="1">
        <v>6</v>
      </c>
      <c r="C170" s="1" t="s">
        <v>210</v>
      </c>
      <c r="D170" s="1" t="s">
        <v>211</v>
      </c>
      <c r="E170" s="1" t="s">
        <v>212</v>
      </c>
      <c r="F170" s="1">
        <f t="shared" si="7"/>
        <v>6</v>
      </c>
      <c r="G170" s="1" t="s">
        <v>93</v>
      </c>
      <c r="H170" s="1">
        <v>10000</v>
      </c>
      <c r="I170" s="1">
        <v>10000</v>
      </c>
      <c r="J170" s="1" t="s">
        <v>94</v>
      </c>
      <c r="K170" s="1" t="s">
        <v>73</v>
      </c>
      <c r="L170" s="1">
        <v>1324</v>
      </c>
      <c r="M170" s="1">
        <v>1</v>
      </c>
      <c r="N170" s="1">
        <f t="shared" si="8"/>
        <v>7022</v>
      </c>
    </row>
    <row r="171" ht="16.5" spans="1:14">
      <c r="A171" s="1">
        <f t="shared" si="6"/>
        <v>91623</v>
      </c>
      <c r="B171" s="1">
        <v>7</v>
      </c>
      <c r="C171" s="1" t="s">
        <v>210</v>
      </c>
      <c r="D171" s="1" t="s">
        <v>211</v>
      </c>
      <c r="E171" s="1" t="s">
        <v>212</v>
      </c>
      <c r="F171" s="1">
        <f t="shared" si="7"/>
        <v>6</v>
      </c>
      <c r="G171" s="1" t="s">
        <v>98</v>
      </c>
      <c r="H171" s="1">
        <v>10000</v>
      </c>
      <c r="I171" s="1">
        <v>10000</v>
      </c>
      <c r="J171" s="1" t="s">
        <v>99</v>
      </c>
      <c r="K171" s="1" t="s">
        <v>73</v>
      </c>
      <c r="L171" s="1">
        <v>1986</v>
      </c>
      <c r="M171" s="1">
        <v>1</v>
      </c>
      <c r="N171" s="1">
        <f t="shared" si="8"/>
        <v>7023</v>
      </c>
    </row>
    <row r="172" ht="16.5" spans="1:14">
      <c r="A172" s="1">
        <f t="shared" si="6"/>
        <v>91624</v>
      </c>
      <c r="B172" s="1">
        <v>8</v>
      </c>
      <c r="C172" s="1" t="s">
        <v>210</v>
      </c>
      <c r="D172" s="1" t="s">
        <v>211</v>
      </c>
      <c r="E172" s="1" t="s">
        <v>212</v>
      </c>
      <c r="F172" s="1">
        <f t="shared" si="7"/>
        <v>6</v>
      </c>
      <c r="G172" s="1" t="s">
        <v>103</v>
      </c>
      <c r="H172" s="1">
        <v>10000</v>
      </c>
      <c r="I172" s="1">
        <v>10000</v>
      </c>
      <c r="J172" s="1" t="s">
        <v>104</v>
      </c>
      <c r="K172" s="1" t="s">
        <v>73</v>
      </c>
      <c r="L172" s="1">
        <v>2979</v>
      </c>
      <c r="M172" s="1">
        <v>1</v>
      </c>
      <c r="N172" s="1">
        <f t="shared" si="8"/>
        <v>7024</v>
      </c>
    </row>
    <row r="173" ht="16.5" spans="1:14">
      <c r="A173" s="1">
        <f t="shared" si="6"/>
        <v>91701</v>
      </c>
      <c r="B173" s="2">
        <v>0</v>
      </c>
      <c r="C173" s="1" t="s">
        <v>213</v>
      </c>
      <c r="D173" s="1" t="s">
        <v>214</v>
      </c>
      <c r="E173" s="1" t="s">
        <v>215</v>
      </c>
      <c r="F173" s="1">
        <f t="shared" si="7"/>
        <v>7</v>
      </c>
      <c r="G173" s="1" t="s">
        <v>71</v>
      </c>
      <c r="H173" s="1">
        <v>0</v>
      </c>
      <c r="I173" s="1">
        <v>0</v>
      </c>
      <c r="J173" s="1" t="s">
        <v>72</v>
      </c>
      <c r="K173" s="1" t="s">
        <v>73</v>
      </c>
      <c r="L173" s="1">
        <v>35</v>
      </c>
      <c r="M173" s="1">
        <v>1</v>
      </c>
      <c r="N173" s="1">
        <f t="shared" si="8"/>
        <v>8001</v>
      </c>
    </row>
    <row r="174" ht="16.5" spans="1:14">
      <c r="A174" s="1">
        <f t="shared" si="6"/>
        <v>91702</v>
      </c>
      <c r="B174" s="1">
        <v>1</v>
      </c>
      <c r="C174" s="1" t="s">
        <v>213</v>
      </c>
      <c r="D174" s="1" t="s">
        <v>214</v>
      </c>
      <c r="E174" s="1" t="s">
        <v>215</v>
      </c>
      <c r="F174" s="1">
        <f t="shared" si="7"/>
        <v>7</v>
      </c>
      <c r="G174" s="1" t="s">
        <v>74</v>
      </c>
      <c r="H174" s="1">
        <v>3000</v>
      </c>
      <c r="I174" s="1">
        <v>0</v>
      </c>
      <c r="J174" s="1" t="s">
        <v>75</v>
      </c>
      <c r="K174" s="1" t="s">
        <v>73</v>
      </c>
      <c r="L174" s="1">
        <v>52</v>
      </c>
      <c r="M174" s="1">
        <v>1</v>
      </c>
      <c r="N174" s="1">
        <f t="shared" si="8"/>
        <v>8002</v>
      </c>
    </row>
    <row r="175" ht="16.5" spans="1:14">
      <c r="A175" s="1">
        <f t="shared" si="6"/>
        <v>91703</v>
      </c>
      <c r="B175" s="1">
        <v>2</v>
      </c>
      <c r="C175" s="1" t="s">
        <v>213</v>
      </c>
      <c r="D175" s="1" t="s">
        <v>214</v>
      </c>
      <c r="E175" s="1" t="s">
        <v>215</v>
      </c>
      <c r="F175" s="1">
        <f t="shared" si="7"/>
        <v>7</v>
      </c>
      <c r="G175" s="1" t="s">
        <v>76</v>
      </c>
      <c r="H175" s="1">
        <v>6000</v>
      </c>
      <c r="I175" s="1">
        <v>0</v>
      </c>
      <c r="J175" s="1" t="s">
        <v>77</v>
      </c>
      <c r="K175" s="1" t="s">
        <v>73</v>
      </c>
      <c r="L175" s="1">
        <v>78</v>
      </c>
      <c r="M175" s="1">
        <v>1</v>
      </c>
      <c r="N175" s="1">
        <f t="shared" si="8"/>
        <v>8003</v>
      </c>
    </row>
    <row r="176" ht="16.5" spans="1:14">
      <c r="A176" s="1">
        <f t="shared" si="6"/>
        <v>91704</v>
      </c>
      <c r="B176" s="1">
        <v>3</v>
      </c>
      <c r="C176" s="1" t="s">
        <v>213</v>
      </c>
      <c r="D176" s="1" t="s">
        <v>214</v>
      </c>
      <c r="E176" s="1" t="s">
        <v>215</v>
      </c>
      <c r="F176" s="1">
        <f t="shared" si="7"/>
        <v>7</v>
      </c>
      <c r="G176" s="1" t="s">
        <v>78</v>
      </c>
      <c r="H176" s="1">
        <v>10000</v>
      </c>
      <c r="I176" s="1">
        <v>2000</v>
      </c>
      <c r="J176" s="1" t="s">
        <v>79</v>
      </c>
      <c r="K176" s="1" t="s">
        <v>73</v>
      </c>
      <c r="L176" s="1">
        <v>117</v>
      </c>
      <c r="M176" s="1">
        <v>1</v>
      </c>
      <c r="N176" s="1">
        <f t="shared" si="8"/>
        <v>8004</v>
      </c>
    </row>
    <row r="177" ht="16.5" spans="1:14">
      <c r="A177" s="1">
        <f t="shared" si="6"/>
        <v>91705</v>
      </c>
      <c r="B177" s="2">
        <v>1</v>
      </c>
      <c r="C177" s="1" t="s">
        <v>216</v>
      </c>
      <c r="D177" s="1" t="s">
        <v>217</v>
      </c>
      <c r="E177" s="1" t="s">
        <v>218</v>
      </c>
      <c r="F177" s="1">
        <f t="shared" si="7"/>
        <v>7</v>
      </c>
      <c r="G177" s="1" t="s">
        <v>74</v>
      </c>
      <c r="H177" s="1">
        <v>6000</v>
      </c>
      <c r="I177" s="1">
        <v>0</v>
      </c>
      <c r="J177" s="1" t="s">
        <v>75</v>
      </c>
      <c r="K177" s="1" t="s">
        <v>73</v>
      </c>
      <c r="L177" s="1">
        <v>175</v>
      </c>
      <c r="M177" s="1">
        <v>1</v>
      </c>
      <c r="N177" s="1">
        <f t="shared" si="8"/>
        <v>8005</v>
      </c>
    </row>
    <row r="178" ht="16.5" spans="1:14">
      <c r="A178" s="1">
        <f t="shared" si="6"/>
        <v>91706</v>
      </c>
      <c r="B178" s="1">
        <v>2</v>
      </c>
      <c r="C178" s="1" t="s">
        <v>216</v>
      </c>
      <c r="D178" s="1" t="s">
        <v>217</v>
      </c>
      <c r="E178" s="1" t="s">
        <v>218</v>
      </c>
      <c r="F178" s="1">
        <f t="shared" si="7"/>
        <v>7</v>
      </c>
      <c r="G178" s="1" t="s">
        <v>76</v>
      </c>
      <c r="H178" s="1">
        <v>10000</v>
      </c>
      <c r="I178" s="1">
        <v>2000</v>
      </c>
      <c r="J178" s="1" t="s">
        <v>77</v>
      </c>
      <c r="K178" s="1" t="s">
        <v>73</v>
      </c>
      <c r="L178" s="1">
        <v>262</v>
      </c>
      <c r="M178" s="1">
        <v>1</v>
      </c>
      <c r="N178" s="1">
        <f t="shared" si="8"/>
        <v>8006</v>
      </c>
    </row>
    <row r="179" ht="16.5" spans="1:14">
      <c r="A179" s="1">
        <f t="shared" si="6"/>
        <v>91707</v>
      </c>
      <c r="B179" s="1">
        <v>3</v>
      </c>
      <c r="C179" s="1" t="s">
        <v>216</v>
      </c>
      <c r="D179" s="1" t="s">
        <v>217</v>
      </c>
      <c r="E179" s="1" t="s">
        <v>218</v>
      </c>
      <c r="F179" s="1">
        <f t="shared" si="7"/>
        <v>7</v>
      </c>
      <c r="G179" s="1" t="s">
        <v>78</v>
      </c>
      <c r="H179" s="1">
        <v>10000</v>
      </c>
      <c r="I179" s="1">
        <v>5000</v>
      </c>
      <c r="J179" s="1" t="s">
        <v>79</v>
      </c>
      <c r="K179" s="1" t="s">
        <v>73</v>
      </c>
      <c r="L179" s="1">
        <v>393</v>
      </c>
      <c r="M179" s="1">
        <v>1</v>
      </c>
      <c r="N179" s="1">
        <f t="shared" si="8"/>
        <v>8007</v>
      </c>
    </row>
    <row r="180" ht="16.5" spans="1:14">
      <c r="A180" s="1">
        <f t="shared" si="6"/>
        <v>91708</v>
      </c>
      <c r="B180" s="1">
        <v>4</v>
      </c>
      <c r="C180" s="1" t="s">
        <v>216</v>
      </c>
      <c r="D180" s="1" t="s">
        <v>217</v>
      </c>
      <c r="E180" s="1" t="s">
        <v>218</v>
      </c>
      <c r="F180" s="1">
        <f t="shared" si="7"/>
        <v>7</v>
      </c>
      <c r="G180" s="1" t="s">
        <v>83</v>
      </c>
      <c r="H180" s="1">
        <v>10000</v>
      </c>
      <c r="I180" s="1">
        <v>10000</v>
      </c>
      <c r="J180" s="1" t="s">
        <v>84</v>
      </c>
      <c r="K180" s="1" t="s">
        <v>73</v>
      </c>
      <c r="L180" s="1">
        <v>589</v>
      </c>
      <c r="M180" s="1">
        <v>1</v>
      </c>
      <c r="N180" s="1">
        <f t="shared" si="8"/>
        <v>8008</v>
      </c>
    </row>
    <row r="181" ht="16.5" spans="1:14">
      <c r="A181" s="1">
        <f t="shared" si="6"/>
        <v>91709</v>
      </c>
      <c r="B181" s="2">
        <v>2</v>
      </c>
      <c r="C181" s="1" t="s">
        <v>219</v>
      </c>
      <c r="D181" s="1" t="s">
        <v>220</v>
      </c>
      <c r="E181" s="1" t="s">
        <v>221</v>
      </c>
      <c r="F181" s="1">
        <f t="shared" si="7"/>
        <v>7</v>
      </c>
      <c r="G181" s="1" t="s">
        <v>76</v>
      </c>
      <c r="H181" s="1">
        <v>10000</v>
      </c>
      <c r="I181" s="1">
        <v>2000</v>
      </c>
      <c r="J181" s="1" t="s">
        <v>77</v>
      </c>
      <c r="K181" s="1" t="s">
        <v>73</v>
      </c>
      <c r="L181" s="1">
        <v>883</v>
      </c>
      <c r="M181" s="1">
        <v>1</v>
      </c>
      <c r="N181" s="1">
        <f t="shared" si="8"/>
        <v>8009</v>
      </c>
    </row>
    <row r="182" ht="16.5" spans="1:14">
      <c r="A182" s="1">
        <f t="shared" si="6"/>
        <v>91710</v>
      </c>
      <c r="B182" s="1">
        <v>3</v>
      </c>
      <c r="C182" s="1" t="s">
        <v>219</v>
      </c>
      <c r="D182" s="1" t="s">
        <v>220</v>
      </c>
      <c r="E182" s="1" t="s">
        <v>221</v>
      </c>
      <c r="F182" s="1">
        <f t="shared" si="7"/>
        <v>7</v>
      </c>
      <c r="G182" s="1" t="s">
        <v>78</v>
      </c>
      <c r="H182" s="1">
        <v>10000</v>
      </c>
      <c r="I182" s="1">
        <v>5000</v>
      </c>
      <c r="J182" s="1" t="s">
        <v>79</v>
      </c>
      <c r="K182" s="1" t="s">
        <v>73</v>
      </c>
      <c r="L182" s="1">
        <v>1324</v>
      </c>
      <c r="M182" s="1">
        <v>1</v>
      </c>
      <c r="N182" s="1">
        <f t="shared" si="8"/>
        <v>8010</v>
      </c>
    </row>
    <row r="183" ht="16.5" spans="1:14">
      <c r="A183" s="1">
        <f t="shared" si="6"/>
        <v>91711</v>
      </c>
      <c r="B183" s="1">
        <v>4</v>
      </c>
      <c r="C183" s="1" t="s">
        <v>219</v>
      </c>
      <c r="D183" s="1" t="s">
        <v>220</v>
      </c>
      <c r="E183" s="1" t="s">
        <v>221</v>
      </c>
      <c r="F183" s="1">
        <f t="shared" si="7"/>
        <v>7</v>
      </c>
      <c r="G183" s="1" t="s">
        <v>83</v>
      </c>
      <c r="H183" s="1">
        <v>10000</v>
      </c>
      <c r="I183" s="1">
        <v>10000</v>
      </c>
      <c r="J183" s="1" t="s">
        <v>84</v>
      </c>
      <c r="K183" s="1" t="s">
        <v>73</v>
      </c>
      <c r="L183" s="1">
        <v>1986</v>
      </c>
      <c r="M183" s="1">
        <v>1</v>
      </c>
      <c r="N183" s="1">
        <f t="shared" si="8"/>
        <v>8011</v>
      </c>
    </row>
    <row r="184" ht="16.5" spans="1:14">
      <c r="A184" s="1">
        <f t="shared" si="6"/>
        <v>91712</v>
      </c>
      <c r="B184" s="1">
        <v>5</v>
      </c>
      <c r="C184" s="1" t="s">
        <v>219</v>
      </c>
      <c r="D184" s="1" t="s">
        <v>220</v>
      </c>
      <c r="E184" s="1" t="s">
        <v>221</v>
      </c>
      <c r="F184" s="1">
        <f t="shared" si="7"/>
        <v>7</v>
      </c>
      <c r="G184" s="1" t="s">
        <v>88</v>
      </c>
      <c r="H184" s="1">
        <v>10000</v>
      </c>
      <c r="I184" s="1">
        <v>10000</v>
      </c>
      <c r="J184" s="1" t="s">
        <v>89</v>
      </c>
      <c r="K184" s="1" t="s">
        <v>73</v>
      </c>
      <c r="L184" s="1">
        <v>2979</v>
      </c>
      <c r="M184" s="1">
        <v>1</v>
      </c>
      <c r="N184" s="1">
        <f t="shared" si="8"/>
        <v>8012</v>
      </c>
    </row>
    <row r="185" ht="16.5" spans="1:14">
      <c r="A185" s="1">
        <f t="shared" si="6"/>
        <v>91713</v>
      </c>
      <c r="B185" s="2">
        <v>3</v>
      </c>
      <c r="C185" s="1" t="s">
        <v>222</v>
      </c>
      <c r="D185" s="1" t="s">
        <v>223</v>
      </c>
      <c r="E185" s="1" t="s">
        <v>224</v>
      </c>
      <c r="F185" s="1">
        <f t="shared" si="7"/>
        <v>7</v>
      </c>
      <c r="G185" s="1" t="s">
        <v>78</v>
      </c>
      <c r="H185" s="1">
        <v>10000</v>
      </c>
      <c r="I185" s="1">
        <v>5000</v>
      </c>
      <c r="J185" s="1" t="s">
        <v>79</v>
      </c>
      <c r="K185" s="1" t="s">
        <v>73</v>
      </c>
      <c r="L185" s="1">
        <v>35</v>
      </c>
      <c r="M185" s="1">
        <v>1</v>
      </c>
      <c r="N185" s="1">
        <f t="shared" si="8"/>
        <v>8013</v>
      </c>
    </row>
    <row r="186" ht="16.5" spans="1:14">
      <c r="A186" s="1">
        <f t="shared" si="6"/>
        <v>91714</v>
      </c>
      <c r="B186" s="1">
        <v>4</v>
      </c>
      <c r="C186" s="1" t="s">
        <v>222</v>
      </c>
      <c r="D186" s="1" t="s">
        <v>223</v>
      </c>
      <c r="E186" s="1" t="s">
        <v>224</v>
      </c>
      <c r="F186" s="1">
        <f t="shared" si="7"/>
        <v>7</v>
      </c>
      <c r="G186" s="1" t="s">
        <v>83</v>
      </c>
      <c r="H186" s="1">
        <v>10000</v>
      </c>
      <c r="I186" s="1">
        <v>10000</v>
      </c>
      <c r="J186" s="1" t="s">
        <v>84</v>
      </c>
      <c r="K186" s="1" t="s">
        <v>73</v>
      </c>
      <c r="L186" s="1">
        <v>52</v>
      </c>
      <c r="M186" s="1">
        <v>1</v>
      </c>
      <c r="N186" s="1">
        <f t="shared" si="8"/>
        <v>8014</v>
      </c>
    </row>
    <row r="187" ht="16.5" spans="1:14">
      <c r="A187" s="1">
        <f t="shared" si="6"/>
        <v>91715</v>
      </c>
      <c r="B187" s="1">
        <v>5</v>
      </c>
      <c r="C187" s="1" t="s">
        <v>222</v>
      </c>
      <c r="D187" s="1" t="s">
        <v>223</v>
      </c>
      <c r="E187" s="1" t="s">
        <v>224</v>
      </c>
      <c r="F187" s="1">
        <f t="shared" si="7"/>
        <v>7</v>
      </c>
      <c r="G187" s="1" t="s">
        <v>88</v>
      </c>
      <c r="H187" s="1">
        <v>10000</v>
      </c>
      <c r="I187" s="1">
        <v>10000</v>
      </c>
      <c r="J187" s="1" t="s">
        <v>89</v>
      </c>
      <c r="K187" s="1" t="s">
        <v>73</v>
      </c>
      <c r="L187" s="1">
        <v>78</v>
      </c>
      <c r="M187" s="1">
        <v>1</v>
      </c>
      <c r="N187" s="1">
        <f t="shared" si="8"/>
        <v>8015</v>
      </c>
    </row>
    <row r="188" ht="16.5" spans="1:14">
      <c r="A188" s="1">
        <f t="shared" si="6"/>
        <v>91716</v>
      </c>
      <c r="B188" s="1">
        <v>6</v>
      </c>
      <c r="C188" s="1" t="s">
        <v>222</v>
      </c>
      <c r="D188" s="1" t="s">
        <v>223</v>
      </c>
      <c r="E188" s="1" t="s">
        <v>224</v>
      </c>
      <c r="F188" s="1">
        <f t="shared" si="7"/>
        <v>7</v>
      </c>
      <c r="G188" s="1" t="s">
        <v>93</v>
      </c>
      <c r="H188" s="1">
        <v>10000</v>
      </c>
      <c r="I188" s="1">
        <v>10000</v>
      </c>
      <c r="J188" s="1" t="s">
        <v>94</v>
      </c>
      <c r="K188" s="1" t="s">
        <v>73</v>
      </c>
      <c r="L188" s="1">
        <v>117</v>
      </c>
      <c r="M188" s="1">
        <v>1</v>
      </c>
      <c r="N188" s="1">
        <f t="shared" si="8"/>
        <v>8016</v>
      </c>
    </row>
    <row r="189" ht="16.5" spans="1:14">
      <c r="A189" s="1">
        <f t="shared" si="6"/>
        <v>91717</v>
      </c>
      <c r="B189" s="2">
        <v>4</v>
      </c>
      <c r="C189" s="1" t="s">
        <v>225</v>
      </c>
      <c r="D189" s="1" t="s">
        <v>226</v>
      </c>
      <c r="E189" s="1" t="s">
        <v>227</v>
      </c>
      <c r="F189" s="1">
        <f t="shared" si="7"/>
        <v>7</v>
      </c>
      <c r="G189" s="1" t="s">
        <v>83</v>
      </c>
      <c r="H189" s="1">
        <v>10000</v>
      </c>
      <c r="I189" s="1">
        <v>10000</v>
      </c>
      <c r="J189" s="1" t="s">
        <v>84</v>
      </c>
      <c r="K189" s="1" t="s">
        <v>73</v>
      </c>
      <c r="L189" s="1">
        <v>175</v>
      </c>
      <c r="M189" s="1">
        <v>1</v>
      </c>
      <c r="N189" s="1">
        <f t="shared" si="8"/>
        <v>8017</v>
      </c>
    </row>
    <row r="190" ht="16.5" spans="1:14">
      <c r="A190" s="1">
        <f t="shared" si="6"/>
        <v>91718</v>
      </c>
      <c r="B190" s="1">
        <v>5</v>
      </c>
      <c r="C190" s="1" t="s">
        <v>225</v>
      </c>
      <c r="D190" s="1" t="s">
        <v>226</v>
      </c>
      <c r="E190" s="1" t="s">
        <v>227</v>
      </c>
      <c r="F190" s="1">
        <f t="shared" si="7"/>
        <v>7</v>
      </c>
      <c r="G190" s="1" t="s">
        <v>88</v>
      </c>
      <c r="H190" s="1">
        <v>10000</v>
      </c>
      <c r="I190" s="1">
        <v>10000</v>
      </c>
      <c r="J190" s="1" t="s">
        <v>89</v>
      </c>
      <c r="K190" s="1" t="s">
        <v>73</v>
      </c>
      <c r="L190" s="1">
        <v>262</v>
      </c>
      <c r="M190" s="1">
        <v>1</v>
      </c>
      <c r="N190" s="1">
        <f t="shared" si="8"/>
        <v>8018</v>
      </c>
    </row>
    <row r="191" ht="16.5" spans="1:14">
      <c r="A191" s="1">
        <f t="shared" si="6"/>
        <v>91719</v>
      </c>
      <c r="B191" s="1">
        <v>6</v>
      </c>
      <c r="C191" s="1" t="s">
        <v>225</v>
      </c>
      <c r="D191" s="1" t="s">
        <v>226</v>
      </c>
      <c r="E191" s="1" t="s">
        <v>227</v>
      </c>
      <c r="F191" s="1">
        <f t="shared" si="7"/>
        <v>7</v>
      </c>
      <c r="G191" s="1" t="s">
        <v>93</v>
      </c>
      <c r="H191" s="1">
        <v>10000</v>
      </c>
      <c r="I191" s="1">
        <v>10000</v>
      </c>
      <c r="J191" s="1" t="s">
        <v>94</v>
      </c>
      <c r="K191" s="1" t="s">
        <v>73</v>
      </c>
      <c r="L191" s="1">
        <v>393</v>
      </c>
      <c r="M191" s="1">
        <v>1</v>
      </c>
      <c r="N191" s="1">
        <f t="shared" si="8"/>
        <v>8019</v>
      </c>
    </row>
    <row r="192" ht="16.5" spans="1:14">
      <c r="A192" s="1">
        <f t="shared" si="6"/>
        <v>91720</v>
      </c>
      <c r="B192" s="1">
        <v>7</v>
      </c>
      <c r="C192" s="1" t="s">
        <v>225</v>
      </c>
      <c r="D192" s="1" t="s">
        <v>226</v>
      </c>
      <c r="E192" s="1" t="s">
        <v>227</v>
      </c>
      <c r="F192" s="1">
        <f t="shared" si="7"/>
        <v>7</v>
      </c>
      <c r="G192" s="1" t="s">
        <v>98</v>
      </c>
      <c r="H192" s="1">
        <v>10000</v>
      </c>
      <c r="I192" s="1">
        <v>10000</v>
      </c>
      <c r="J192" s="1" t="s">
        <v>99</v>
      </c>
      <c r="K192" s="1" t="s">
        <v>73</v>
      </c>
      <c r="L192" s="1">
        <v>589</v>
      </c>
      <c r="M192" s="1">
        <v>1</v>
      </c>
      <c r="N192" s="1">
        <f t="shared" si="8"/>
        <v>8020</v>
      </c>
    </row>
    <row r="193" ht="16.5" spans="1:14">
      <c r="A193" s="1">
        <f t="shared" si="6"/>
        <v>91721</v>
      </c>
      <c r="B193" s="2">
        <v>5</v>
      </c>
      <c r="C193" s="1" t="s">
        <v>228</v>
      </c>
      <c r="D193" s="1" t="s">
        <v>229</v>
      </c>
      <c r="E193" s="1" t="s">
        <v>230</v>
      </c>
      <c r="F193" s="1">
        <f t="shared" si="7"/>
        <v>7</v>
      </c>
      <c r="G193" s="1" t="s">
        <v>88</v>
      </c>
      <c r="H193" s="1">
        <v>10000</v>
      </c>
      <c r="I193" s="1">
        <v>10000</v>
      </c>
      <c r="J193" s="1" t="s">
        <v>89</v>
      </c>
      <c r="K193" s="1" t="s">
        <v>73</v>
      </c>
      <c r="L193" s="1">
        <v>883</v>
      </c>
      <c r="M193" s="1">
        <v>1</v>
      </c>
      <c r="N193" s="1">
        <f t="shared" si="8"/>
        <v>8021</v>
      </c>
    </row>
    <row r="194" ht="16.5" spans="1:14">
      <c r="A194" s="1">
        <f t="shared" si="6"/>
        <v>91722</v>
      </c>
      <c r="B194" s="1">
        <v>6</v>
      </c>
      <c r="C194" s="1" t="s">
        <v>228</v>
      </c>
      <c r="D194" s="1" t="s">
        <v>229</v>
      </c>
      <c r="E194" s="1" t="s">
        <v>230</v>
      </c>
      <c r="F194" s="1">
        <f t="shared" si="7"/>
        <v>7</v>
      </c>
      <c r="G194" s="1" t="s">
        <v>93</v>
      </c>
      <c r="H194" s="1">
        <v>10000</v>
      </c>
      <c r="I194" s="1">
        <v>10000</v>
      </c>
      <c r="J194" s="1" t="s">
        <v>94</v>
      </c>
      <c r="K194" s="1" t="s">
        <v>73</v>
      </c>
      <c r="L194" s="1">
        <v>1324</v>
      </c>
      <c r="M194" s="1">
        <v>1</v>
      </c>
      <c r="N194" s="1">
        <f t="shared" si="8"/>
        <v>8022</v>
      </c>
    </row>
    <row r="195" ht="16.5" spans="1:14">
      <c r="A195" s="1">
        <f t="shared" si="6"/>
        <v>91723</v>
      </c>
      <c r="B195" s="1">
        <v>7</v>
      </c>
      <c r="C195" s="1" t="s">
        <v>228</v>
      </c>
      <c r="D195" s="1" t="s">
        <v>229</v>
      </c>
      <c r="E195" s="1" t="s">
        <v>230</v>
      </c>
      <c r="F195" s="1">
        <f t="shared" si="7"/>
        <v>7</v>
      </c>
      <c r="G195" s="1" t="s">
        <v>98</v>
      </c>
      <c r="H195" s="1">
        <v>10000</v>
      </c>
      <c r="I195" s="1">
        <v>10000</v>
      </c>
      <c r="J195" s="1" t="s">
        <v>99</v>
      </c>
      <c r="K195" s="1" t="s">
        <v>73</v>
      </c>
      <c r="L195" s="1">
        <v>1986</v>
      </c>
      <c r="M195" s="1">
        <v>1</v>
      </c>
      <c r="N195" s="1">
        <f t="shared" si="8"/>
        <v>8023</v>
      </c>
    </row>
    <row r="196" ht="16.5" spans="1:14">
      <c r="A196" s="1">
        <f t="shared" si="6"/>
        <v>91724</v>
      </c>
      <c r="B196" s="1">
        <v>8</v>
      </c>
      <c r="C196" s="1" t="s">
        <v>228</v>
      </c>
      <c r="D196" s="1" t="s">
        <v>229</v>
      </c>
      <c r="E196" s="1" t="s">
        <v>230</v>
      </c>
      <c r="F196" s="1">
        <f t="shared" si="7"/>
        <v>7</v>
      </c>
      <c r="G196" s="1" t="s">
        <v>103</v>
      </c>
      <c r="H196" s="1">
        <v>10000</v>
      </c>
      <c r="I196" s="1">
        <v>10000</v>
      </c>
      <c r="J196" s="1" t="s">
        <v>104</v>
      </c>
      <c r="K196" s="1" t="s">
        <v>73</v>
      </c>
      <c r="L196" s="1">
        <v>2979</v>
      </c>
      <c r="M196" s="1">
        <v>1</v>
      </c>
      <c r="N196" s="1">
        <f t="shared" si="8"/>
        <v>8024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(DefendTower)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红尘漫步人</cp:lastModifiedBy>
  <dcterms:created xsi:type="dcterms:W3CDTF">2023-05-12T11:15:00Z</dcterms:created>
  <dcterms:modified xsi:type="dcterms:W3CDTF">2024-03-08T07:02:31Z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5C76772C6296404480E7655911EE68DD_12</vt:lpwstr>
  </property>
</Properties>
</file>